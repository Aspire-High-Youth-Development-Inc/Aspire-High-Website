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nses" sheetId="1" state="visible" r:id="rId3"/>
    <sheet name="Summary" sheetId="2" state="visible" r:id="rId4"/>
    <sheet name="Field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<sst xmlns="http://schemas.openxmlformats.org/spreadsheetml/2006/main" count="369" uniqueCount="240">
  <si>
    <t xml:space="preserve">Submitted at</t>
  </si>
  <si>
    <t xml:space="preserve">Form language</t>
  </si>
  <si>
    <t xml:space="preserve">Email</t>
  </si>
  <si>
    <t xml:space="preserve">Student first name</t>
  </si>
  <si>
    <t xml:space="preserve">Student last name</t>
  </si>
  <si>
    <t xml:space="preserve">Preferred name</t>
  </si>
  <si>
    <t xml:space="preserve">Student date of birth</t>
  </si>
  <si>
    <t xml:space="preserve">Grade level</t>
  </si>
  <si>
    <t xml:space="preserve">School</t>
  </si>
  <si>
    <t xml:space="preserve">School district</t>
  </si>
  <si>
    <t xml:space="preserve">ZIP code</t>
  </si>
  <si>
    <t xml:space="preserve">Student email</t>
  </si>
  <si>
    <t xml:space="preserve">Student phone</t>
  </si>
  <si>
    <t xml:space="preserve">Parent/guardian name</t>
  </si>
  <si>
    <t xml:space="preserve">Relationship to student</t>
  </si>
  <si>
    <t xml:space="preserve">Parent/guardian email</t>
  </si>
  <si>
    <t xml:space="preserve">Parent/guardian phone</t>
  </si>
  <si>
    <t xml:space="preserve">Preferred contact method</t>
  </si>
  <si>
    <t xml:space="preserve">Household size</t>
  </si>
  <si>
    <t xml:space="preserve">Parent/guardian education</t>
  </si>
  <si>
    <t xml:space="preserve">First-generation college</t>
  </si>
  <si>
    <t xml:space="preserve">School lunch</t>
  </si>
  <si>
    <t xml:space="preserve">English learner</t>
  </si>
  <si>
    <t xml:space="preserve">Race/ethnicity</t>
  </si>
  <si>
    <t xml:space="preserve">Barriers to participation</t>
  </si>
  <si>
    <t xml:space="preserve">Household income range</t>
  </si>
  <si>
    <t xml:space="preserve">Programs of interest</t>
  </si>
  <si>
    <t xml:space="preserve">Student goals</t>
  </si>
  <si>
    <t xml:space="preserve">Plan after high school</t>
  </si>
  <si>
    <t xml:space="preserve">GPA</t>
  </si>
  <si>
    <t xml:space="preserve">Academic performance</t>
  </si>
  <si>
    <t xml:space="preserve">Academic support needed</t>
  </si>
  <si>
    <t xml:space="preserve">Goal for this year</t>
  </si>
  <si>
    <t xml:space="preserve">Wants virtual tutoring</t>
  </si>
  <si>
    <t xml:space="preserve">Tutoring subjects</t>
  </si>
  <si>
    <t xml:space="preserve">Tutoring time</t>
  </si>
  <si>
    <t xml:space="preserve">Parent engagement interest</t>
  </si>
  <si>
    <t xml:space="preserve">Parent session times</t>
  </si>
  <si>
    <t xml:space="preserve">Parent topics</t>
  </si>
  <si>
    <t xml:space="preserve">Emergency contact name</t>
  </si>
  <si>
    <t xml:space="preserve">Emergency contact relationship</t>
  </si>
  <si>
    <t xml:space="preserve">Emergency contact phone</t>
  </si>
  <si>
    <t xml:space="preserve">Accessibility needs</t>
  </si>
  <si>
    <t xml:space="preserve">How they heard about us</t>
  </si>
  <si>
    <t xml:space="preserve">Participation consent</t>
  </si>
  <si>
    <t xml:space="preserve">Evaluation consent</t>
  </si>
  <si>
    <t xml:space="preserve">Photo/video release</t>
  </si>
  <si>
    <t xml:space="preserve">Signature</t>
  </si>
  <si>
    <t xml:space="preserve">Signature date</t>
  </si>
  <si>
    <t xml:space="preserve">Aspire High — Applications 2026–2027</t>
  </si>
  <si>
    <t xml:space="preserve">Every figure below is a formula over the Responses tab and updates as applications arrive. Nothing on this tab needs typing.</t>
  </si>
  <si>
    <t xml:space="preserve">Applications</t>
  </si>
  <si>
    <t xml:space="preserve">Count</t>
  </si>
  <si>
    <t xml:space="preserve">% of total</t>
  </si>
  <si>
    <t xml:space="preserve">Note</t>
  </si>
  <si>
    <t xml:space="preserve">Total applications</t>
  </si>
  <si>
    <t xml:space="preserve">Submitted on the English form</t>
  </si>
  <si>
    <t xml:space="preserve">Submitted on the Spanish form</t>
  </si>
  <si>
    <t xml:space="preserve">Grade (counts entries containing the number)</t>
  </si>
  <si>
    <t xml:space="preserve">Grade 9</t>
  </si>
  <si>
    <t xml:space="preserve">Grade is typed freely on the form, so an entry written as a word — "Freshman" — is not counted here.</t>
  </si>
  <si>
    <t xml:space="preserve">Grade 10</t>
  </si>
  <si>
    <t xml:space="preserve">Grade 11</t>
  </si>
  <si>
    <t xml:space="preserve">Grade 12</t>
  </si>
  <si>
    <t xml:space="preserve">Grant reporting</t>
  </si>
  <si>
    <t xml:space="preserve">First-generation college students</t>
  </si>
  <si>
    <t xml:space="preserve">Free or reduced-price lunch</t>
  </si>
  <si>
    <t xml:space="preserve">A common proxy for household income in grant applications.</t>
  </si>
  <si>
    <t xml:space="preserve">English or multilingual learners</t>
  </si>
  <si>
    <t xml:space="preserve">Hispanic or Latino</t>
  </si>
  <si>
    <t xml:space="preserve">Race/ethnicity is select-all-that-apply, so these rows can add up to more than the total.</t>
  </si>
  <si>
    <t xml:space="preserve">Black or African American</t>
  </si>
  <si>
    <t xml:space="preserve">White</t>
  </si>
  <si>
    <t xml:space="preserve">Asian</t>
  </si>
  <si>
    <t xml:space="preserve">Two or more races</t>
  </si>
  <si>
    <t xml:space="preserve">Programme interest</t>
  </si>
  <si>
    <t xml:space="preserve">Want free virtual tutoring</t>
  </si>
  <si>
    <t xml:space="preserve">Want parent engagement sessions</t>
  </si>
  <si>
    <t xml:space="preserve">Check before every session</t>
  </si>
  <si>
    <t xml:space="preserve">Photo/video NOT authorised</t>
  </si>
  <si>
    <t xml:space="preserve">Filter the Responses tab on Photo/video release = No before any photo or video is taken or posted.</t>
  </si>
  <si>
    <t xml:space="preserve">Participation consent NOT given</t>
  </si>
  <si>
    <t xml:space="preserve">These students cannot take part until consent is given.</t>
  </si>
  <si>
    <t xml:space="preserve">How to use this workbook</t>
  </si>
  <si>
    <t xml:space="preserve">•  Responses — one row per application, added automatically by the website. Do not type in it or sort it in place; filter instead.</t>
  </si>
  <si>
    <t xml:space="preserve">•  You may add your own columns to the RIGHT of the last heading (for example Status, Contacted by). The script leaves them alone.</t>
  </si>
  <si>
    <t xml:space="preserve">•  Summary — live counts for grant reporting. Nothing there needs typing.</t>
  </si>
  <si>
    <t xml:space="preserve">•  Row 1 of Responses is matched by heading text: renaming a heading starts a new column instead of filling the old one.</t>
  </si>
  <si>
    <t xml:space="preserve">•  Keep the spreadsheet's sharing on Restricted. It holds children's personal details.</t>
  </si>
  <si>
    <t xml:space="preserve">•  The Example answer column below shows one made-up application, for format only. It is not a real family.</t>
  </si>
  <si>
    <t xml:space="preserve">Column</t>
  </si>
  <si>
    <t xml:space="preserve">Heading in Responses</t>
  </si>
  <si>
    <t xml:space="preserve">Question on the form</t>
  </si>
  <si>
    <t xml:space="preserve">Required</t>
  </si>
  <si>
    <t xml:space="preserve">Answer type</t>
  </si>
  <si>
    <t xml:space="preserve">Example answer (made up)</t>
  </si>
  <si>
    <t xml:space="preserve">A</t>
  </si>
  <si>
    <t xml:space="preserve">Added automatically</t>
  </si>
  <si>
    <t xml:space="preserve">Date and time</t>
  </si>
  <si>
    <t xml:space="preserve">2026-10-02 18:41</t>
  </si>
  <si>
    <t xml:space="preserve">Added by the script at the moment of submission, New York time.</t>
  </si>
  <si>
    <t xml:space="preserve">B</t>
  </si>
  <si>
    <t xml:space="preserve">Hidden — which page was used</t>
  </si>
  <si>
    <t xml:space="preserve">Text</t>
  </si>
  <si>
    <t xml:space="preserve">Spanish</t>
  </si>
  <si>
    <t xml:space="preserve">English or Spanish — which page the family used. Answers themselves are always stored in English.</t>
  </si>
  <si>
    <t xml:space="preserve">C</t>
  </si>
  <si>
    <t xml:space="preserve">Yes</t>
  </si>
  <si>
    <t xml:space="preserve">maria.lopez@example.org</t>
  </si>
  <si>
    <t xml:space="preserve">D</t>
  </si>
  <si>
    <t xml:space="preserve">Student First Name</t>
  </si>
  <si>
    <t xml:space="preserve">Ana</t>
  </si>
  <si>
    <t xml:space="preserve">E</t>
  </si>
  <si>
    <t xml:space="preserve">Student Last Name</t>
  </si>
  <si>
    <t xml:space="preserve">Lopez</t>
  </si>
  <si>
    <t xml:space="preserve">F</t>
  </si>
  <si>
    <t xml:space="preserve">Preferred Name</t>
  </si>
  <si>
    <t xml:space="preserve">G</t>
  </si>
  <si>
    <t xml:space="preserve">Student Date of Birth</t>
  </si>
  <si>
    <t xml:space="preserve">Date</t>
  </si>
  <si>
    <t xml:space="preserve">2011-04-02</t>
  </si>
  <si>
    <t xml:space="preserve">H</t>
  </si>
  <si>
    <t xml:space="preserve">Current Grade Level</t>
  </si>
  <si>
    <t xml:space="preserve">9</t>
  </si>
  <si>
    <t xml:space="preserve">I</t>
  </si>
  <si>
    <t xml:space="preserve">School Name</t>
  </si>
  <si>
    <t xml:space="preserve">Franklin High School</t>
  </si>
  <si>
    <t xml:space="preserve">J</t>
  </si>
  <si>
    <t xml:space="preserve">School District</t>
  </si>
  <si>
    <t xml:space="preserve">K</t>
  </si>
  <si>
    <t xml:space="preserve">ZIP Code</t>
  </si>
  <si>
    <t xml:space="preserve">08724</t>
  </si>
  <si>
    <t xml:space="preserve">Stored as text so the leading zero of New Jersey ZIP codes is kept.</t>
  </si>
  <si>
    <t xml:space="preserve">L</t>
  </si>
  <si>
    <t xml:space="preserve">Student Email Address</t>
  </si>
  <si>
    <t xml:space="preserve">M</t>
  </si>
  <si>
    <t xml:space="preserve">Student Phone Number</t>
  </si>
  <si>
    <t xml:space="preserve">N</t>
  </si>
  <si>
    <t xml:space="preserve">Parent/Guardian Full Name</t>
  </si>
  <si>
    <t xml:space="preserve">Maria Lopez</t>
  </si>
  <si>
    <t xml:space="preserve">O</t>
  </si>
  <si>
    <t xml:space="preserve">Relationship to Student</t>
  </si>
  <si>
    <t xml:space="preserve">Mother</t>
  </si>
  <si>
    <t xml:space="preserve">P</t>
  </si>
  <si>
    <t xml:space="preserve">Parent/Guardian Email</t>
  </si>
  <si>
    <t xml:space="preserve">Q</t>
  </si>
  <si>
    <t xml:space="preserve">Parent/Guardian Phone Number</t>
  </si>
  <si>
    <t xml:space="preserve">+1 732 555 0100</t>
  </si>
  <si>
    <t xml:space="preserve">R</t>
  </si>
  <si>
    <t xml:space="preserve">Preferred Contact Method</t>
  </si>
  <si>
    <t xml:space="preserve">Choose one</t>
  </si>
  <si>
    <t xml:space="preserve">Text Message</t>
  </si>
  <si>
    <t xml:space="preserve">S</t>
  </si>
  <si>
    <t xml:space="preserve">Household Size</t>
  </si>
  <si>
    <t xml:space="preserve">4</t>
  </si>
  <si>
    <t xml:space="preserve">T</t>
  </si>
  <si>
    <t xml:space="preserve">Highest Level of Education Completed by Parent/Guardian</t>
  </si>
  <si>
    <t xml:space="preserve">High school diploma</t>
  </si>
  <si>
    <t xml:space="preserve">U</t>
  </si>
  <si>
    <t xml:space="preserve">Would the student be the first person in their immediate family to attend college?</t>
  </si>
  <si>
    <t xml:space="preserve">V</t>
  </si>
  <si>
    <t xml:space="preserve">Does the student receive free, reduced-price, or full-paid school lunch?</t>
  </si>
  <si>
    <t xml:space="preserve">Free lunch</t>
  </si>
  <si>
    <t xml:space="preserve">W</t>
  </si>
  <si>
    <t xml:space="preserve">Is the student an English Learner or multilingual learner?</t>
  </si>
  <si>
    <t xml:space="preserve">No</t>
  </si>
  <si>
    <t xml:space="preserve">X</t>
  </si>
  <si>
    <t xml:space="preserve">Race/Ethnicity</t>
  </si>
  <si>
    <t xml:space="preserve">Choose several</t>
  </si>
  <si>
    <t xml:space="preserve">Hispanic or Latino, White</t>
  </si>
  <si>
    <t xml:space="preserve">Several answers are joined with commas.</t>
  </si>
  <si>
    <t xml:space="preserve">Y</t>
  </si>
  <si>
    <t xml:space="preserve">Does the student currently experience any barriers that may affect participation in educational programs?</t>
  </si>
  <si>
    <t xml:space="preserve">Transportation</t>
  </si>
  <si>
    <t xml:space="preserve">Z</t>
  </si>
  <si>
    <t xml:space="preserve">Household Annual Income Range</t>
  </si>
  <si>
    <t xml:space="preserve">Optional on the form. Sensitive — never copy into other files.</t>
  </si>
  <si>
    <t xml:space="preserve">AA</t>
  </si>
  <si>
    <t xml:space="preserve">Which Aspire High programs are you interested in?</t>
  </si>
  <si>
    <t xml:space="preserve">Free Virtual Tutoring, College &amp; Career Readiness</t>
  </si>
  <si>
    <t xml:space="preserve">AB</t>
  </si>
  <si>
    <t xml:space="preserve">What are the student's primary goals?</t>
  </si>
  <si>
    <t xml:space="preserve">Improve grades, Prepare for/apply to college</t>
  </si>
  <si>
    <t xml:space="preserve">AC</t>
  </si>
  <si>
    <t xml:space="preserve">What does the student plan to do after high school?</t>
  </si>
  <si>
    <t xml:space="preserve">Four-year college</t>
  </si>
  <si>
    <t xml:space="preserve">AD</t>
  </si>
  <si>
    <t xml:space="preserve">Current or Most Recent GPA</t>
  </si>
  <si>
    <t xml:space="preserve">3.2</t>
  </si>
  <si>
    <t xml:space="preserve">AE</t>
  </si>
  <si>
    <t xml:space="preserve">Current Academic Performance</t>
  </si>
  <si>
    <t xml:space="preserve">Mostly Bs</t>
  </si>
  <si>
    <t xml:space="preserve">AF</t>
  </si>
  <si>
    <t xml:space="preserve">Which academic areas need additional support?</t>
  </si>
  <si>
    <t xml:space="preserve">Math, Study Skills</t>
  </si>
  <si>
    <t xml:space="preserve">AG</t>
  </si>
  <si>
    <t xml:space="preserve">What is one goal you would like Aspire High to help your student achieve this year?</t>
  </si>
  <si>
    <t xml:space="preserve">Raise her math grade and start thinking about colleges.</t>
  </si>
  <si>
    <t xml:space="preserve">AH</t>
  </si>
  <si>
    <t xml:space="preserve">Would you like your child to receive FREE virtual tutoring through Aspire High?</t>
  </si>
  <si>
    <t xml:space="preserve">AI</t>
  </si>
  <si>
    <t xml:space="preserve">Which subjects would your child like tutoring support in?</t>
  </si>
  <si>
    <t xml:space="preserve">Math</t>
  </si>
  <si>
    <t xml:space="preserve">AJ</t>
  </si>
  <si>
    <t xml:space="preserve">What is the best time for your child to participate in virtual tutoring?</t>
  </si>
  <si>
    <t xml:space="preserve">Weekday afternoon/evening</t>
  </si>
  <si>
    <t xml:space="preserve">AK</t>
  </si>
  <si>
    <t xml:space="preserve">Would you be interested in Aspire High's FREE Virtual Parent Engagement sessions?</t>
  </si>
  <si>
    <t xml:space="preserve">AL</t>
  </si>
  <si>
    <t xml:space="preserve">What is the BEST time for you to participate in virtual parent engagement sessions?</t>
  </si>
  <si>
    <t xml:space="preserve">Wednesday 6–7 PM</t>
  </si>
  <si>
    <t xml:space="preserve">AM</t>
  </si>
  <si>
    <t xml:space="preserve">What parent/family topics would you be interested in?</t>
  </si>
  <si>
    <t xml:space="preserve">FAFSA &amp; Financial Aid</t>
  </si>
  <si>
    <t xml:space="preserve">AN</t>
  </si>
  <si>
    <t xml:space="preserve">Emergency Contact Name</t>
  </si>
  <si>
    <t xml:space="preserve">Luis Lopez</t>
  </si>
  <si>
    <t xml:space="preserve">AO</t>
  </si>
  <si>
    <t xml:space="preserve">Uncle</t>
  </si>
  <si>
    <t xml:space="preserve">AP</t>
  </si>
  <si>
    <t xml:space="preserve">Emergency Contact Phone Number</t>
  </si>
  <si>
    <t xml:space="preserve">732-555-0101</t>
  </si>
  <si>
    <t xml:space="preserve">AQ</t>
  </si>
  <si>
    <t xml:space="preserve">Does your child have any specific participation or accessibility needs Aspire High should know about?</t>
  </si>
  <si>
    <t xml:space="preserve">Optional on the form. Share only with staff who need it.</t>
  </si>
  <si>
    <t xml:space="preserve">AR</t>
  </si>
  <si>
    <t xml:space="preserve">How did you hear about Aspire High Youth Development Inc.?</t>
  </si>
  <si>
    <t xml:space="preserve">School/Teacher</t>
  </si>
  <si>
    <t xml:space="preserve">AS</t>
  </si>
  <si>
    <t xml:space="preserve">Program Participation Consent</t>
  </si>
  <si>
    <t xml:space="preserve">I agree</t>
  </si>
  <si>
    <t xml:space="preserve">AT</t>
  </si>
  <si>
    <t xml:space="preserve">Grant &amp; Program Evaluation Consent</t>
  </si>
  <si>
    <t xml:space="preserve">AU</t>
  </si>
  <si>
    <t xml:space="preserve">Photo/Video Release</t>
  </si>
  <si>
    <t xml:space="preserve">No = do not photograph or film this student.</t>
  </si>
  <si>
    <t xml:space="preserve">AV</t>
  </si>
  <si>
    <t xml:space="preserve">Parent/Guardian Electronic Signature</t>
  </si>
  <si>
    <t xml:space="preserve">AW</t>
  </si>
  <si>
    <t xml:space="preserve">2026-10-02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</si>
</sst>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"/>
    <numFmt numFmtId="166" formatCode="@"/>
    <numFmt numFmtId="167" formatCode="0"/>
    <numFmt numFmtId="168" formatCode="0.0%;\-0.0%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5"/>
      <color rgb="FF0B2D5B"/>
      <name val="Arial"/>
      <family val="0"/>
      <charset val="1"/>
    </font>
    <font>
      <i val="true"/>
      <sz val="9"/>
      <color rgb="FF5B6B8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800020"/>
      <name val="Arial"/>
      <family val="0"/>
      <charset val="1"/>
    </font>
    <font>
      <b val="true"/>
      <sz val="13"/>
      <color rgb="FF0B2D5B"/>
      <name val="Arial"/>
      <family val="0"/>
      <charset val="1"/>
    </font>
    <font>
      <sz val="10"/>
      <color rgb="FF1F4E9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D5B"/>
        <bgColor rgb="FF333333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E2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2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DCE2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0B2D5B"/>
      <rgbColor rgb="FF339966"/>
      <rgbColor rgb="FF003300"/>
      <rgbColor rgb="FF333300"/>
      <rgbColor rgb="FF993300"/>
      <rgbColor rgb="FF993366"/>
      <rgbColor rgb="FF1F4E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1"/>
    <col collapsed="false" customWidth="true" hidden="false" outlineLevel="0" max="6" min="6" style="0" width="18"/>
    <col collapsed="false" customWidth="true" hidden="false" outlineLevel="0" max="7" min="7" style="0" width="25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9"/>
    <col collapsed="false" customWidth="true" hidden="false" outlineLevel="0" max="11" min="11" style="0" width="14"/>
    <col collapsed="false" customWidth="true" hidden="false" outlineLevel="0" max="13" min="12" style="0" width="17"/>
    <col collapsed="false" customWidth="true" hidden="false" outlineLevel="0" max="14" min="14" style="0" width="24"/>
    <col collapsed="false" customWidth="true" hidden="false" outlineLevel="0" max="15" min="15" style="0" width="27"/>
    <col collapsed="false" customWidth="true" hidden="false" outlineLevel="0" max="17" min="16" style="0" width="25"/>
    <col collapsed="false" customWidth="true" hidden="false" outlineLevel="0" max="18" min="18" style="0" width="28"/>
    <col collapsed="false" customWidth="true" hidden="false" outlineLevel="0" max="19" min="19" style="0" width="18"/>
    <col collapsed="false" customWidth="true" hidden="false" outlineLevel="0" max="20" min="20" style="0" width="29"/>
    <col collapsed="false" customWidth="true" hidden="false" outlineLevel="0" max="21" min="21" style="0" width="28"/>
    <col collapsed="false" customWidth="true" hidden="false" outlineLevel="0" max="22" min="22" style="0" width="16"/>
    <col collapsed="false" customWidth="true" hidden="false" outlineLevel="0" max="23" min="23" style="0" width="19"/>
    <col collapsed="false" customWidth="true" hidden="false" outlineLevel="0" max="24" min="24" style="0" width="18"/>
    <col collapsed="false" customWidth="true" hidden="false" outlineLevel="0" max="25" min="25" style="0" width="29"/>
    <col collapsed="false" customWidth="true" hidden="false" outlineLevel="0" max="26" min="26" style="0" width="26"/>
    <col collapsed="false" customWidth="true" hidden="false" outlineLevel="0" max="27" min="27" style="0" width="24"/>
    <col collapsed="false" customWidth="true" hidden="false" outlineLevel="0" max="28" min="28" style="0" width="17"/>
    <col collapsed="false" customWidth="true" hidden="false" outlineLevel="0" max="29" min="29" style="0" width="26"/>
    <col collapsed="false" customWidth="true" hidden="false" outlineLevel="0" max="30" min="30" style="0" width="14"/>
    <col collapsed="false" customWidth="true" hidden="false" outlineLevel="0" max="31" min="31" style="0" width="24"/>
    <col collapsed="false" customWidth="true" hidden="false" outlineLevel="0" max="32" min="32" style="0" width="27"/>
    <col collapsed="false" customWidth="true" hidden="false" outlineLevel="0" max="33" min="33" style="0" width="22"/>
    <col collapsed="false" customWidth="true" hidden="false" outlineLevel="0" max="34" min="34" style="0" width="26"/>
    <col collapsed="false" customWidth="true" hidden="false" outlineLevel="0" max="35" min="35" style="0" width="21"/>
    <col collapsed="false" customWidth="true" hidden="false" outlineLevel="0" max="36" min="36" style="0" width="17"/>
    <col collapsed="false" customWidth="true" hidden="false" outlineLevel="0" max="37" min="37" style="0" width="30"/>
    <col collapsed="false" customWidth="true" hidden="false" outlineLevel="0" max="38" min="38" style="0" width="24"/>
    <col collapsed="false" customWidth="true" hidden="false" outlineLevel="0" max="39" min="39" style="0" width="17"/>
    <col collapsed="false" customWidth="true" hidden="false" outlineLevel="0" max="40" min="40" style="0" width="26"/>
    <col collapsed="false" customWidth="true" hidden="false" outlineLevel="0" max="41" min="41" style="0" width="34"/>
    <col collapsed="false" customWidth="true" hidden="false" outlineLevel="0" max="42" min="42" style="0" width="27"/>
    <col collapsed="false" customWidth="true" hidden="false" outlineLevel="0" max="43" min="43" style="0" width="23"/>
    <col collapsed="false" customWidth="true" hidden="false" outlineLevel="0" max="44" min="44" style="0" width="27"/>
    <col collapsed="false" customWidth="true" hidden="false" outlineLevel="0" max="45" min="45" style="0" width="25"/>
    <col collapsed="false" customWidth="true" hidden="false" outlineLevel="0" max="46" min="46" style="0" width="22"/>
    <col collapsed="false" customWidth="true" hidden="false" outlineLevel="0" max="47" min="47" style="0" width="23"/>
    <col collapsed="false" customWidth="true" hidden="false" outlineLevel="0" max="48" min="48" style="0" width="14"/>
    <col collapsed="false" customWidth="true" hidden="false" outlineLevel="0" max="49" min="49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customFormat="false" ht="15" hidden="false" customHeight="false" outlineLevel="0" collapsed="false">
      <c r="A2" s="2"/>
      <c r="K2" s="3"/>
      <c r="M2" s="3"/>
      <c r="Q2" s="3"/>
      <c r="AD2" s="3"/>
      <c r="AP2" s="3"/>
    </row>
    <row r="3" customFormat="false" ht="15" hidden="false" customHeight="false" outlineLevel="0" collapsed="false">
      <c r="A3" s="2"/>
      <c r="K3" s="3"/>
      <c r="M3" s="3"/>
      <c r="Q3" s="3"/>
      <c r="AD3" s="3"/>
      <c r="AP3" s="3"/>
    </row>
    <row r="4" customFormat="false" ht="15" hidden="false" customHeight="false" outlineLevel="0" collapsed="false">
      <c r="A4" s="2"/>
      <c r="K4" s="3"/>
      <c r="M4" s="3"/>
      <c r="Q4" s="3"/>
      <c r="AD4" s="3"/>
      <c r="AP4" s="3"/>
    </row>
    <row r="5" customFormat="false" ht="15" hidden="false" customHeight="false" outlineLevel="0" collapsed="false">
      <c r="A5" s="2"/>
      <c r="K5" s="3"/>
      <c r="M5" s="3"/>
      <c r="Q5" s="3"/>
      <c r="AD5" s="3"/>
      <c r="AP5" s="3"/>
    </row>
    <row r="6" customFormat="false" ht="15" hidden="false" customHeight="false" outlineLevel="0" collapsed="false">
      <c r="A6" s="2"/>
      <c r="K6" s="3"/>
      <c r="M6" s="3"/>
      <c r="Q6" s="3"/>
      <c r="AD6" s="3"/>
      <c r="AP6" s="3"/>
    </row>
    <row r="7" customFormat="false" ht="15" hidden="false" customHeight="false" outlineLevel="0" collapsed="false">
      <c r="A7" s="2"/>
      <c r="K7" s="3"/>
      <c r="M7" s="3"/>
      <c r="Q7" s="3"/>
      <c r="AD7" s="3"/>
      <c r="AP7" s="3"/>
    </row>
    <row r="8" customFormat="false" ht="15" hidden="false" customHeight="false" outlineLevel="0" collapsed="false">
      <c r="A8" s="2"/>
      <c r="K8" s="3"/>
      <c r="M8" s="3"/>
      <c r="Q8" s="3"/>
      <c r="AD8" s="3"/>
      <c r="AP8" s="3"/>
    </row>
    <row r="9" customFormat="false" ht="15" hidden="false" customHeight="false" outlineLevel="0" collapsed="false">
      <c r="A9" s="2"/>
      <c r="K9" s="3"/>
      <c r="M9" s="3"/>
      <c r="Q9" s="3"/>
      <c r="AD9" s="3"/>
      <c r="AP9" s="3"/>
    </row>
    <row r="10" customFormat="false" ht="15" hidden="false" customHeight="false" outlineLevel="0" collapsed="false">
      <c r="A10" s="2"/>
      <c r="K10" s="3"/>
      <c r="M10" s="3"/>
      <c r="Q10" s="3"/>
      <c r="AD10" s="3"/>
      <c r="AP10" s="3"/>
    </row>
    <row r="11" customFormat="false" ht="15" hidden="false" customHeight="false" outlineLevel="0" collapsed="false">
      <c r="A11" s="2"/>
      <c r="K11" s="3"/>
      <c r="M11" s="3"/>
      <c r="Q11" s="3"/>
      <c r="AD11" s="3"/>
      <c r="AP11" s="3"/>
    </row>
    <row r="12" customFormat="false" ht="15" hidden="false" customHeight="false" outlineLevel="0" collapsed="false">
      <c r="A12" s="2"/>
      <c r="K12" s="3"/>
      <c r="M12" s="3"/>
      <c r="Q12" s="3"/>
      <c r="AD12" s="3"/>
      <c r="AP12" s="3"/>
    </row>
    <row r="13" customFormat="false" ht="15" hidden="false" customHeight="false" outlineLevel="0" collapsed="false">
      <c r="A13" s="2"/>
      <c r="K13" s="3"/>
      <c r="M13" s="3"/>
      <c r="Q13" s="3"/>
      <c r="AD13" s="3"/>
      <c r="AP13" s="3"/>
    </row>
    <row r="14" customFormat="false" ht="15" hidden="false" customHeight="false" outlineLevel="0" collapsed="false">
      <c r="A14" s="2"/>
      <c r="K14" s="3"/>
      <c r="M14" s="3"/>
      <c r="Q14" s="3"/>
      <c r="AD14" s="3"/>
      <c r="AP14" s="3"/>
    </row>
    <row r="15" customFormat="false" ht="15" hidden="false" customHeight="false" outlineLevel="0" collapsed="false">
      <c r="A15" s="2"/>
      <c r="K15" s="3"/>
      <c r="M15" s="3"/>
      <c r="Q15" s="3"/>
      <c r="AD15" s="3"/>
      <c r="AP15" s="3"/>
    </row>
    <row r="16" customFormat="false" ht="15" hidden="false" customHeight="false" outlineLevel="0" collapsed="false">
      <c r="A16" s="2"/>
      <c r="K16" s="3"/>
      <c r="M16" s="3"/>
      <c r="Q16" s="3"/>
      <c r="AD16" s="3"/>
      <c r="AP16" s="3"/>
    </row>
    <row r="17" customFormat="false" ht="15" hidden="false" customHeight="false" outlineLevel="0" collapsed="false">
      <c r="A17" s="2"/>
      <c r="K17" s="3"/>
      <c r="M17" s="3"/>
      <c r="Q17" s="3"/>
      <c r="AD17" s="3"/>
      <c r="AP17" s="3"/>
    </row>
    <row r="18" customFormat="false" ht="15" hidden="false" customHeight="false" outlineLevel="0" collapsed="false">
      <c r="A18" s="2"/>
      <c r="K18" s="3"/>
      <c r="M18" s="3"/>
      <c r="Q18" s="3"/>
      <c r="AD18" s="3"/>
      <c r="AP18" s="3"/>
    </row>
    <row r="19" customFormat="false" ht="15" hidden="false" customHeight="false" outlineLevel="0" collapsed="false">
      <c r="A19" s="2"/>
      <c r="K19" s="3"/>
      <c r="M19" s="3"/>
      <c r="Q19" s="3"/>
      <c r="AD19" s="3"/>
      <c r="AP19" s="3"/>
    </row>
    <row r="20" customFormat="false" ht="15" hidden="false" customHeight="false" outlineLevel="0" collapsed="false">
      <c r="A20" s="2"/>
      <c r="K20" s="3"/>
      <c r="M20" s="3"/>
      <c r="Q20" s="3"/>
      <c r="AD20" s="3"/>
      <c r="AP20" s="3"/>
    </row>
    <row r="21" customFormat="false" ht="15" hidden="false" customHeight="false" outlineLevel="0" collapsed="false">
      <c r="A21" s="2"/>
      <c r="K21" s="3"/>
      <c r="M21" s="3"/>
      <c r="Q21" s="3"/>
      <c r="AD21" s="3"/>
      <c r="AP21" s="3"/>
    </row>
    <row r="22" customFormat="false" ht="15" hidden="false" customHeight="false" outlineLevel="0" collapsed="false">
      <c r="A22" s="2"/>
      <c r="K22" s="3"/>
      <c r="M22" s="3"/>
      <c r="Q22" s="3"/>
      <c r="AD22" s="3"/>
      <c r="AP22" s="3"/>
    </row>
    <row r="23" customFormat="false" ht="15" hidden="false" customHeight="false" outlineLevel="0" collapsed="false">
      <c r="A23" s="2"/>
      <c r="K23" s="3"/>
      <c r="M23" s="3"/>
      <c r="Q23" s="3"/>
      <c r="AD23" s="3"/>
      <c r="AP23" s="3"/>
    </row>
    <row r="24" customFormat="false" ht="15" hidden="false" customHeight="false" outlineLevel="0" collapsed="false">
      <c r="A24" s="2"/>
      <c r="K24" s="3"/>
      <c r="M24" s="3"/>
      <c r="Q24" s="3"/>
      <c r="AD24" s="3"/>
      <c r="AP24" s="3"/>
    </row>
    <row r="25" customFormat="false" ht="15" hidden="false" customHeight="false" outlineLevel="0" collapsed="false">
      <c r="A25" s="2"/>
      <c r="K25" s="3"/>
      <c r="M25" s="3"/>
      <c r="Q25" s="3"/>
      <c r="AD25" s="3"/>
      <c r="AP25" s="3"/>
    </row>
    <row r="26" customFormat="false" ht="15" hidden="false" customHeight="false" outlineLevel="0" collapsed="false">
      <c r="A26" s="2"/>
      <c r="K26" s="3"/>
      <c r="M26" s="3"/>
      <c r="Q26" s="3"/>
      <c r="AD26" s="3"/>
      <c r="AP26" s="3"/>
    </row>
    <row r="27" customFormat="false" ht="15" hidden="false" customHeight="false" outlineLevel="0" collapsed="false">
      <c r="A27" s="2"/>
      <c r="K27" s="3"/>
      <c r="M27" s="3"/>
      <c r="Q27" s="3"/>
      <c r="AD27" s="3"/>
      <c r="AP27" s="3"/>
    </row>
    <row r="28" customFormat="false" ht="15" hidden="false" customHeight="false" outlineLevel="0" collapsed="false">
      <c r="A28" s="2"/>
      <c r="K28" s="3"/>
      <c r="M28" s="3"/>
      <c r="Q28" s="3"/>
      <c r="AD28" s="3"/>
      <c r="AP28" s="3"/>
    </row>
    <row r="29" customFormat="false" ht="15" hidden="false" customHeight="false" outlineLevel="0" collapsed="false">
      <c r="A29" s="2"/>
      <c r="K29" s="3"/>
      <c r="M29" s="3"/>
      <c r="Q29" s="3"/>
      <c r="AD29" s="3"/>
      <c r="AP29" s="3"/>
    </row>
    <row r="30" customFormat="false" ht="15" hidden="false" customHeight="false" outlineLevel="0" collapsed="false">
      <c r="A30" s="2"/>
      <c r="K30" s="3"/>
      <c r="M30" s="3"/>
      <c r="Q30" s="3"/>
      <c r="AD30" s="3"/>
      <c r="AP30" s="3"/>
    </row>
    <row r="31" customFormat="false" ht="15" hidden="false" customHeight="false" outlineLevel="0" collapsed="false">
      <c r="A31" s="2"/>
      <c r="K31" s="3"/>
      <c r="M31" s="3"/>
      <c r="Q31" s="3"/>
      <c r="AD31" s="3"/>
      <c r="AP31" s="3"/>
    </row>
    <row r="32" customFormat="false" ht="15" hidden="false" customHeight="false" outlineLevel="0" collapsed="false">
      <c r="A32" s="2"/>
      <c r="K32" s="3"/>
      <c r="M32" s="3"/>
      <c r="Q32" s="3"/>
      <c r="AD32" s="3"/>
      <c r="AP32" s="3"/>
    </row>
    <row r="33" customFormat="false" ht="15" hidden="false" customHeight="false" outlineLevel="0" collapsed="false">
      <c r="A33" s="2"/>
      <c r="K33" s="3"/>
      <c r="M33" s="3"/>
      <c r="Q33" s="3"/>
      <c r="AD33" s="3"/>
      <c r="AP33" s="3"/>
    </row>
    <row r="34" customFormat="false" ht="15" hidden="false" customHeight="false" outlineLevel="0" collapsed="false">
      <c r="A34" s="2"/>
      <c r="K34" s="3"/>
      <c r="M34" s="3"/>
      <c r="Q34" s="3"/>
      <c r="AD34" s="3"/>
      <c r="AP34" s="3"/>
    </row>
    <row r="35" customFormat="false" ht="15" hidden="false" customHeight="false" outlineLevel="0" collapsed="false">
      <c r="A35" s="2"/>
      <c r="K35" s="3"/>
      <c r="M35" s="3"/>
      <c r="Q35" s="3"/>
      <c r="AD35" s="3"/>
      <c r="AP35" s="3"/>
    </row>
    <row r="36" customFormat="false" ht="15" hidden="false" customHeight="false" outlineLevel="0" collapsed="false">
      <c r="A36" s="2"/>
      <c r="K36" s="3"/>
      <c r="M36" s="3"/>
      <c r="Q36" s="3"/>
      <c r="AD36" s="3"/>
      <c r="AP36" s="3"/>
    </row>
    <row r="37" customFormat="false" ht="15" hidden="false" customHeight="false" outlineLevel="0" collapsed="false">
      <c r="A37" s="2"/>
      <c r="K37" s="3"/>
      <c r="M37" s="3"/>
      <c r="Q37" s="3"/>
      <c r="AD37" s="3"/>
      <c r="AP37" s="3"/>
    </row>
    <row r="38" customFormat="false" ht="15" hidden="false" customHeight="false" outlineLevel="0" collapsed="false">
      <c r="A38" s="2"/>
      <c r="K38" s="3"/>
      <c r="M38" s="3"/>
      <c r="Q38" s="3"/>
      <c r="AD38" s="3"/>
      <c r="AP38" s="3"/>
    </row>
    <row r="39" customFormat="false" ht="15" hidden="false" customHeight="false" outlineLevel="0" collapsed="false">
      <c r="A39" s="2"/>
      <c r="K39" s="3"/>
      <c r="M39" s="3"/>
      <c r="Q39" s="3"/>
      <c r="AD39" s="3"/>
      <c r="AP39" s="3"/>
    </row>
    <row r="40" customFormat="false" ht="15" hidden="false" customHeight="false" outlineLevel="0" collapsed="false">
      <c r="A40" s="2"/>
      <c r="K40" s="3"/>
      <c r="M40" s="3"/>
      <c r="Q40" s="3"/>
      <c r="AD40" s="3"/>
      <c r="AP40" s="3"/>
    </row>
    <row r="41" customFormat="false" ht="15" hidden="false" customHeight="false" outlineLevel="0" collapsed="false">
      <c r="A41" s="2"/>
      <c r="K41" s="3"/>
      <c r="M41" s="3"/>
      <c r="Q41" s="3"/>
      <c r="AD41" s="3"/>
      <c r="AP41" s="3"/>
    </row>
    <row r="42" customFormat="false" ht="15" hidden="false" customHeight="false" outlineLevel="0" collapsed="false">
      <c r="A42" s="2"/>
      <c r="K42" s="3"/>
      <c r="M42" s="3"/>
      <c r="Q42" s="3"/>
      <c r="AD42" s="3"/>
      <c r="AP42" s="3"/>
    </row>
    <row r="43" customFormat="false" ht="15" hidden="false" customHeight="false" outlineLevel="0" collapsed="false">
      <c r="A43" s="2"/>
      <c r="K43" s="3"/>
      <c r="M43" s="3"/>
      <c r="Q43" s="3"/>
      <c r="AD43" s="3"/>
      <c r="AP43" s="3"/>
    </row>
    <row r="44" customFormat="false" ht="15" hidden="false" customHeight="false" outlineLevel="0" collapsed="false">
      <c r="A44" s="2"/>
      <c r="K44" s="3"/>
      <c r="M44" s="3"/>
      <c r="Q44" s="3"/>
      <c r="AD44" s="3"/>
      <c r="AP44" s="3"/>
    </row>
    <row r="45" customFormat="false" ht="15" hidden="false" customHeight="false" outlineLevel="0" collapsed="false">
      <c r="A45" s="2"/>
      <c r="K45" s="3"/>
      <c r="M45" s="3"/>
      <c r="Q45" s="3"/>
      <c r="AD45" s="3"/>
      <c r="AP45" s="3"/>
    </row>
    <row r="46" customFormat="false" ht="15" hidden="false" customHeight="false" outlineLevel="0" collapsed="false">
      <c r="A46" s="2"/>
      <c r="K46" s="3"/>
      <c r="M46" s="3"/>
      <c r="Q46" s="3"/>
      <c r="AD46" s="3"/>
      <c r="AP46" s="3"/>
    </row>
    <row r="47" customFormat="false" ht="15" hidden="false" customHeight="false" outlineLevel="0" collapsed="false">
      <c r="A47" s="2"/>
      <c r="K47" s="3"/>
      <c r="M47" s="3"/>
      <c r="Q47" s="3"/>
      <c r="AD47" s="3"/>
      <c r="AP47" s="3"/>
    </row>
    <row r="48" customFormat="false" ht="15" hidden="false" customHeight="false" outlineLevel="0" collapsed="false">
      <c r="A48" s="2"/>
      <c r="K48" s="3"/>
      <c r="M48" s="3"/>
      <c r="Q48" s="3"/>
      <c r="AD48" s="3"/>
      <c r="AP48" s="3"/>
    </row>
    <row r="49" customFormat="false" ht="15" hidden="false" customHeight="false" outlineLevel="0" collapsed="false">
      <c r="A49" s="2"/>
      <c r="K49" s="3"/>
      <c r="M49" s="3"/>
      <c r="Q49" s="3"/>
      <c r="AD49" s="3"/>
      <c r="AP49" s="3"/>
    </row>
    <row r="50" customFormat="false" ht="15" hidden="false" customHeight="false" outlineLevel="0" collapsed="false">
      <c r="A50" s="2"/>
      <c r="K50" s="3"/>
      <c r="M50" s="3"/>
      <c r="Q50" s="3"/>
      <c r="AD50" s="3"/>
      <c r="AP50" s="3"/>
    </row>
    <row r="51" customFormat="false" ht="15" hidden="false" customHeight="false" outlineLevel="0" collapsed="false">
      <c r="A51" s="2"/>
      <c r="K51" s="3"/>
      <c r="M51" s="3"/>
      <c r="Q51" s="3"/>
      <c r="AD51" s="3"/>
      <c r="AP51" s="3"/>
    </row>
    <row r="52" customFormat="false" ht="15" hidden="false" customHeight="false" outlineLevel="0" collapsed="false">
      <c r="A52" s="2"/>
      <c r="K52" s="3"/>
      <c r="M52" s="3"/>
      <c r="Q52" s="3"/>
      <c r="AD52" s="3"/>
      <c r="AP52" s="3"/>
    </row>
    <row r="53" customFormat="false" ht="15" hidden="false" customHeight="false" outlineLevel="0" collapsed="false">
      <c r="A53" s="2"/>
      <c r="K53" s="3"/>
      <c r="M53" s="3"/>
      <c r="Q53" s="3"/>
      <c r="AD53" s="3"/>
      <c r="AP53" s="3"/>
    </row>
    <row r="54" customFormat="false" ht="15" hidden="false" customHeight="false" outlineLevel="0" collapsed="false">
      <c r="A54" s="2"/>
      <c r="K54" s="3"/>
      <c r="M54" s="3"/>
      <c r="Q54" s="3"/>
      <c r="AD54" s="3"/>
      <c r="AP54" s="3"/>
    </row>
    <row r="55" customFormat="false" ht="15" hidden="false" customHeight="false" outlineLevel="0" collapsed="false">
      <c r="A55" s="2"/>
      <c r="K55" s="3"/>
      <c r="M55" s="3"/>
      <c r="Q55" s="3"/>
      <c r="AD55" s="3"/>
      <c r="AP55" s="3"/>
    </row>
    <row r="56" customFormat="false" ht="15" hidden="false" customHeight="false" outlineLevel="0" collapsed="false">
      <c r="A56" s="2"/>
      <c r="K56" s="3"/>
      <c r="M56" s="3"/>
      <c r="Q56" s="3"/>
      <c r="AD56" s="3"/>
      <c r="AP56" s="3"/>
    </row>
    <row r="57" customFormat="false" ht="15" hidden="false" customHeight="false" outlineLevel="0" collapsed="false">
      <c r="A57" s="2"/>
      <c r="K57" s="3"/>
      <c r="M57" s="3"/>
      <c r="Q57" s="3"/>
      <c r="AD57" s="3"/>
      <c r="AP57" s="3"/>
    </row>
    <row r="58" customFormat="false" ht="15" hidden="false" customHeight="false" outlineLevel="0" collapsed="false">
      <c r="A58" s="2"/>
      <c r="K58" s="3"/>
      <c r="M58" s="3"/>
      <c r="Q58" s="3"/>
      <c r="AD58" s="3"/>
      <c r="AP58" s="3"/>
    </row>
    <row r="59" customFormat="false" ht="15" hidden="false" customHeight="false" outlineLevel="0" collapsed="false">
      <c r="A59" s="2"/>
      <c r="K59" s="3"/>
      <c r="M59" s="3"/>
      <c r="Q59" s="3"/>
      <c r="AD59" s="3"/>
      <c r="AP59" s="3"/>
    </row>
    <row r="60" customFormat="false" ht="15" hidden="false" customHeight="false" outlineLevel="0" collapsed="false">
      <c r="A60" s="2"/>
      <c r="K60" s="3"/>
      <c r="M60" s="3"/>
      <c r="Q60" s="3"/>
      <c r="AD60" s="3"/>
      <c r="AP60" s="3"/>
    </row>
    <row r="61" customFormat="false" ht="15" hidden="false" customHeight="false" outlineLevel="0" collapsed="false">
      <c r="A61" s="2"/>
      <c r="K61" s="3"/>
      <c r="M61" s="3"/>
      <c r="Q61" s="3"/>
      <c r="AD61" s="3"/>
      <c r="AP61" s="3"/>
    </row>
    <row r="62" customFormat="false" ht="15" hidden="false" customHeight="false" outlineLevel="0" collapsed="false">
      <c r="A62" s="2"/>
      <c r="K62" s="3"/>
      <c r="M62" s="3"/>
      <c r="Q62" s="3"/>
      <c r="AD62" s="3"/>
      <c r="AP62" s="3"/>
    </row>
    <row r="63" customFormat="false" ht="15" hidden="false" customHeight="false" outlineLevel="0" collapsed="false">
      <c r="A63" s="2"/>
      <c r="K63" s="3"/>
      <c r="M63" s="3"/>
      <c r="Q63" s="3"/>
      <c r="AD63" s="3"/>
      <c r="AP63" s="3"/>
    </row>
    <row r="64" customFormat="false" ht="15" hidden="false" customHeight="false" outlineLevel="0" collapsed="false">
      <c r="A64" s="2"/>
      <c r="K64" s="3"/>
      <c r="M64" s="3"/>
      <c r="Q64" s="3"/>
      <c r="AD64" s="3"/>
      <c r="AP64" s="3"/>
    </row>
    <row r="65" customFormat="false" ht="15" hidden="false" customHeight="false" outlineLevel="0" collapsed="false">
      <c r="A65" s="2"/>
      <c r="K65" s="3"/>
      <c r="M65" s="3"/>
      <c r="Q65" s="3"/>
      <c r="AD65" s="3"/>
      <c r="AP65" s="3"/>
    </row>
    <row r="66" customFormat="false" ht="15" hidden="false" customHeight="false" outlineLevel="0" collapsed="false">
      <c r="A66" s="2"/>
      <c r="K66" s="3"/>
      <c r="M66" s="3"/>
      <c r="Q66" s="3"/>
      <c r="AD66" s="3"/>
      <c r="AP66" s="3"/>
    </row>
    <row r="67" customFormat="false" ht="15" hidden="false" customHeight="false" outlineLevel="0" collapsed="false">
      <c r="A67" s="2"/>
      <c r="K67" s="3"/>
      <c r="M67" s="3"/>
      <c r="Q67" s="3"/>
      <c r="AD67" s="3"/>
      <c r="AP67" s="3"/>
    </row>
    <row r="68" customFormat="false" ht="15" hidden="false" customHeight="false" outlineLevel="0" collapsed="false">
      <c r="A68" s="2"/>
      <c r="K68" s="3"/>
      <c r="M68" s="3"/>
      <c r="Q68" s="3"/>
      <c r="AD68" s="3"/>
      <c r="AP68" s="3"/>
    </row>
    <row r="69" customFormat="false" ht="15" hidden="false" customHeight="false" outlineLevel="0" collapsed="false">
      <c r="A69" s="2"/>
      <c r="K69" s="3"/>
      <c r="M69" s="3"/>
      <c r="Q69" s="3"/>
      <c r="AD69" s="3"/>
      <c r="AP69" s="3"/>
    </row>
    <row r="70" customFormat="false" ht="15" hidden="false" customHeight="false" outlineLevel="0" collapsed="false">
      <c r="A70" s="2"/>
      <c r="K70" s="3"/>
      <c r="M70" s="3"/>
      <c r="Q70" s="3"/>
      <c r="AD70" s="3"/>
      <c r="AP70" s="3"/>
    </row>
    <row r="71" customFormat="false" ht="15" hidden="false" customHeight="false" outlineLevel="0" collapsed="false">
      <c r="A71" s="2"/>
      <c r="K71" s="3"/>
      <c r="M71" s="3"/>
      <c r="Q71" s="3"/>
      <c r="AD71" s="3"/>
      <c r="AP71" s="3"/>
    </row>
    <row r="72" customFormat="false" ht="15" hidden="false" customHeight="false" outlineLevel="0" collapsed="false">
      <c r="A72" s="2"/>
      <c r="K72" s="3"/>
      <c r="M72" s="3"/>
      <c r="Q72" s="3"/>
      <c r="AD72" s="3"/>
      <c r="AP72" s="3"/>
    </row>
    <row r="73" customFormat="false" ht="15" hidden="false" customHeight="false" outlineLevel="0" collapsed="false">
      <c r="A73" s="2"/>
      <c r="K73" s="3"/>
      <c r="M73" s="3"/>
      <c r="Q73" s="3"/>
      <c r="AD73" s="3"/>
      <c r="AP73" s="3"/>
    </row>
    <row r="74" customFormat="false" ht="15" hidden="false" customHeight="false" outlineLevel="0" collapsed="false">
      <c r="A74" s="2"/>
      <c r="K74" s="3"/>
      <c r="M74" s="3"/>
      <c r="Q74" s="3"/>
      <c r="AD74" s="3"/>
      <c r="AP74" s="3"/>
    </row>
    <row r="75" customFormat="false" ht="15" hidden="false" customHeight="false" outlineLevel="0" collapsed="false">
      <c r="A75" s="2"/>
      <c r="K75" s="3"/>
      <c r="M75" s="3"/>
      <c r="Q75" s="3"/>
      <c r="AD75" s="3"/>
      <c r="AP75" s="3"/>
    </row>
    <row r="76" customFormat="false" ht="15" hidden="false" customHeight="false" outlineLevel="0" collapsed="false">
      <c r="A76" s="2"/>
      <c r="K76" s="3"/>
      <c r="M76" s="3"/>
      <c r="Q76" s="3"/>
      <c r="AD76" s="3"/>
      <c r="AP76" s="3"/>
    </row>
    <row r="77" customFormat="false" ht="15" hidden="false" customHeight="false" outlineLevel="0" collapsed="false">
      <c r="A77" s="2"/>
      <c r="K77" s="3"/>
      <c r="M77" s="3"/>
      <c r="Q77" s="3"/>
      <c r="AD77" s="3"/>
      <c r="AP77" s="3"/>
    </row>
    <row r="78" customFormat="false" ht="15" hidden="false" customHeight="false" outlineLevel="0" collapsed="false">
      <c r="A78" s="2"/>
      <c r="K78" s="3"/>
      <c r="M78" s="3"/>
      <c r="Q78" s="3"/>
      <c r="AD78" s="3"/>
      <c r="AP78" s="3"/>
    </row>
    <row r="79" customFormat="false" ht="15" hidden="false" customHeight="false" outlineLevel="0" collapsed="false">
      <c r="A79" s="2"/>
      <c r="K79" s="3"/>
      <c r="M79" s="3"/>
      <c r="Q79" s="3"/>
      <c r="AD79" s="3"/>
      <c r="AP79" s="3"/>
    </row>
    <row r="80" customFormat="false" ht="15" hidden="false" customHeight="false" outlineLevel="0" collapsed="false">
      <c r="A80" s="2"/>
      <c r="K80" s="3"/>
      <c r="M80" s="3"/>
      <c r="Q80" s="3"/>
      <c r="AD80" s="3"/>
      <c r="AP80" s="3"/>
    </row>
    <row r="81" customFormat="false" ht="15" hidden="false" customHeight="false" outlineLevel="0" collapsed="false">
      <c r="A81" s="2"/>
      <c r="K81" s="3"/>
      <c r="M81" s="3"/>
      <c r="Q81" s="3"/>
      <c r="AD81" s="3"/>
      <c r="AP81" s="3"/>
    </row>
    <row r="82" customFormat="false" ht="15" hidden="false" customHeight="false" outlineLevel="0" collapsed="false">
      <c r="A82" s="2"/>
      <c r="K82" s="3"/>
      <c r="M82" s="3"/>
      <c r="Q82" s="3"/>
      <c r="AD82" s="3"/>
      <c r="AP82" s="3"/>
    </row>
    <row r="83" customFormat="false" ht="15" hidden="false" customHeight="false" outlineLevel="0" collapsed="false">
      <c r="A83" s="2"/>
      <c r="K83" s="3"/>
      <c r="M83" s="3"/>
      <c r="Q83" s="3"/>
      <c r="AD83" s="3"/>
      <c r="AP83" s="3"/>
    </row>
    <row r="84" customFormat="false" ht="15" hidden="false" customHeight="false" outlineLevel="0" collapsed="false">
      <c r="A84" s="2"/>
      <c r="K84" s="3"/>
      <c r="M84" s="3"/>
      <c r="Q84" s="3"/>
      <c r="AD84" s="3"/>
      <c r="AP84" s="3"/>
    </row>
    <row r="85" customFormat="false" ht="15" hidden="false" customHeight="false" outlineLevel="0" collapsed="false">
      <c r="A85" s="2"/>
      <c r="K85" s="3"/>
      <c r="M85" s="3"/>
      <c r="Q85" s="3"/>
      <c r="AD85" s="3"/>
      <c r="AP85" s="3"/>
    </row>
    <row r="86" customFormat="false" ht="15" hidden="false" customHeight="false" outlineLevel="0" collapsed="false">
      <c r="A86" s="2"/>
      <c r="K86" s="3"/>
      <c r="M86" s="3"/>
      <c r="Q86" s="3"/>
      <c r="AD86" s="3"/>
      <c r="AP86" s="3"/>
    </row>
    <row r="87" customFormat="false" ht="15" hidden="false" customHeight="false" outlineLevel="0" collapsed="false">
      <c r="A87" s="2"/>
      <c r="K87" s="3"/>
      <c r="M87" s="3"/>
      <c r="Q87" s="3"/>
      <c r="AD87" s="3"/>
      <c r="AP87" s="3"/>
    </row>
    <row r="88" customFormat="false" ht="15" hidden="false" customHeight="false" outlineLevel="0" collapsed="false">
      <c r="A88" s="2"/>
      <c r="K88" s="3"/>
      <c r="M88" s="3"/>
      <c r="Q88" s="3"/>
      <c r="AD88" s="3"/>
      <c r="AP88" s="3"/>
    </row>
    <row r="89" customFormat="false" ht="15" hidden="false" customHeight="false" outlineLevel="0" collapsed="false">
      <c r="A89" s="2"/>
      <c r="K89" s="3"/>
      <c r="M89" s="3"/>
      <c r="Q89" s="3"/>
      <c r="AD89" s="3"/>
      <c r="AP89" s="3"/>
    </row>
    <row r="90" customFormat="false" ht="15" hidden="false" customHeight="false" outlineLevel="0" collapsed="false">
      <c r="A90" s="2"/>
      <c r="K90" s="3"/>
      <c r="M90" s="3"/>
      <c r="Q90" s="3"/>
      <c r="AD90" s="3"/>
      <c r="AP90" s="3"/>
    </row>
    <row r="91" customFormat="false" ht="15" hidden="false" customHeight="false" outlineLevel="0" collapsed="false">
      <c r="A91" s="2"/>
      <c r="K91" s="3"/>
      <c r="M91" s="3"/>
      <c r="Q91" s="3"/>
      <c r="AD91" s="3"/>
      <c r="AP91" s="3"/>
    </row>
    <row r="92" customFormat="false" ht="15" hidden="false" customHeight="false" outlineLevel="0" collapsed="false">
      <c r="A92" s="2"/>
      <c r="K92" s="3"/>
      <c r="M92" s="3"/>
      <c r="Q92" s="3"/>
      <c r="AD92" s="3"/>
      <c r="AP92" s="3"/>
    </row>
    <row r="93" customFormat="false" ht="15" hidden="false" customHeight="false" outlineLevel="0" collapsed="false">
      <c r="A93" s="2"/>
      <c r="K93" s="3"/>
      <c r="M93" s="3"/>
      <c r="Q93" s="3"/>
      <c r="AD93" s="3"/>
      <c r="AP93" s="3"/>
    </row>
    <row r="94" customFormat="false" ht="15" hidden="false" customHeight="false" outlineLevel="0" collapsed="false">
      <c r="A94" s="2"/>
      <c r="K94" s="3"/>
      <c r="M94" s="3"/>
      <c r="Q94" s="3"/>
      <c r="AD94" s="3"/>
      <c r="AP94" s="3"/>
    </row>
    <row r="95" customFormat="false" ht="15" hidden="false" customHeight="false" outlineLevel="0" collapsed="false">
      <c r="A95" s="2"/>
      <c r="K95" s="3"/>
      <c r="M95" s="3"/>
      <c r="Q95" s="3"/>
      <c r="AD95" s="3"/>
      <c r="AP95" s="3"/>
    </row>
    <row r="96" customFormat="false" ht="15" hidden="false" customHeight="false" outlineLevel="0" collapsed="false">
      <c r="A96" s="2"/>
      <c r="K96" s="3"/>
      <c r="M96" s="3"/>
      <c r="Q96" s="3"/>
      <c r="AD96" s="3"/>
      <c r="AP96" s="3"/>
    </row>
    <row r="97" customFormat="false" ht="15" hidden="false" customHeight="false" outlineLevel="0" collapsed="false">
      <c r="A97" s="2"/>
      <c r="K97" s="3"/>
      <c r="M97" s="3"/>
      <c r="Q97" s="3"/>
      <c r="AD97" s="3"/>
      <c r="AP97" s="3"/>
    </row>
    <row r="98" customFormat="false" ht="15" hidden="false" customHeight="false" outlineLevel="0" collapsed="false">
      <c r="A98" s="2"/>
      <c r="K98" s="3"/>
      <c r="M98" s="3"/>
      <c r="Q98" s="3"/>
      <c r="AD98" s="3"/>
      <c r="AP98" s="3"/>
    </row>
    <row r="99" customFormat="false" ht="15" hidden="false" customHeight="false" outlineLevel="0" collapsed="false">
      <c r="A99" s="2"/>
      <c r="K99" s="3"/>
      <c r="M99" s="3"/>
      <c r="Q99" s="3"/>
      <c r="AD99" s="3"/>
      <c r="AP99" s="3"/>
    </row>
    <row r="100" customFormat="false" ht="15" hidden="false" customHeight="false" outlineLevel="0" collapsed="false">
      <c r="A100" s="2"/>
      <c r="K100" s="3"/>
      <c r="M100" s="3"/>
      <c r="Q100" s="3"/>
      <c r="AD100" s="3"/>
      <c r="AP100" s="3"/>
    </row>
    <row r="101" customFormat="false" ht="15" hidden="false" customHeight="false" outlineLevel="0" collapsed="false">
      <c r="A101" s="2"/>
      <c r="K101" s="3"/>
      <c r="M101" s="3"/>
      <c r="Q101" s="3"/>
      <c r="AD101" s="3"/>
      <c r="AP101" s="3"/>
    </row>
    <row r="102" customFormat="false" ht="15" hidden="false" customHeight="false" outlineLevel="0" collapsed="false">
      <c r="A102" s="2"/>
      <c r="K102" s="3"/>
      <c r="M102" s="3"/>
      <c r="Q102" s="3"/>
      <c r="AD102" s="3"/>
      <c r="AP102" s="3"/>
    </row>
    <row r="103" customFormat="false" ht="15" hidden="false" customHeight="false" outlineLevel="0" collapsed="false">
      <c r="A103" s="2"/>
      <c r="K103" s="3"/>
      <c r="M103" s="3"/>
      <c r="Q103" s="3"/>
      <c r="AD103" s="3"/>
      <c r="AP103" s="3"/>
    </row>
    <row r="104" customFormat="false" ht="15" hidden="false" customHeight="false" outlineLevel="0" collapsed="false">
      <c r="A104" s="2"/>
      <c r="K104" s="3"/>
      <c r="M104" s="3"/>
      <c r="Q104" s="3"/>
      <c r="AD104" s="3"/>
      <c r="AP104" s="3"/>
    </row>
    <row r="105" customFormat="false" ht="15" hidden="false" customHeight="false" outlineLevel="0" collapsed="false">
      <c r="A105" s="2"/>
      <c r="K105" s="3"/>
      <c r="M105" s="3"/>
      <c r="Q105" s="3"/>
      <c r="AD105" s="3"/>
      <c r="AP105" s="3"/>
    </row>
    <row r="106" customFormat="false" ht="15" hidden="false" customHeight="false" outlineLevel="0" collapsed="false">
      <c r="A106" s="2"/>
      <c r="K106" s="3"/>
      <c r="M106" s="3"/>
      <c r="Q106" s="3"/>
      <c r="AD106" s="3"/>
      <c r="AP106" s="3"/>
    </row>
    <row r="107" customFormat="false" ht="15" hidden="false" customHeight="false" outlineLevel="0" collapsed="false">
      <c r="A107" s="2"/>
      <c r="K107" s="3"/>
      <c r="M107" s="3"/>
      <c r="Q107" s="3"/>
      <c r="AD107" s="3"/>
      <c r="AP107" s="3"/>
    </row>
    <row r="108" customFormat="false" ht="15" hidden="false" customHeight="false" outlineLevel="0" collapsed="false">
      <c r="A108" s="2"/>
      <c r="K108" s="3"/>
      <c r="M108" s="3"/>
      <c r="Q108" s="3"/>
      <c r="AD108" s="3"/>
      <c r="AP108" s="3"/>
    </row>
    <row r="109" customFormat="false" ht="15" hidden="false" customHeight="false" outlineLevel="0" collapsed="false">
      <c r="A109" s="2"/>
      <c r="K109" s="3"/>
      <c r="M109" s="3"/>
      <c r="Q109" s="3"/>
      <c r="AD109" s="3"/>
      <c r="AP109" s="3"/>
    </row>
    <row r="110" customFormat="false" ht="15" hidden="false" customHeight="false" outlineLevel="0" collapsed="false">
      <c r="A110" s="2"/>
      <c r="K110" s="3"/>
      <c r="M110" s="3"/>
      <c r="Q110" s="3"/>
      <c r="AD110" s="3"/>
      <c r="AP110" s="3"/>
    </row>
    <row r="111" customFormat="false" ht="15" hidden="false" customHeight="false" outlineLevel="0" collapsed="false">
      <c r="A111" s="2"/>
      <c r="K111" s="3"/>
      <c r="M111" s="3"/>
      <c r="Q111" s="3"/>
      <c r="AD111" s="3"/>
      <c r="AP111" s="3"/>
    </row>
    <row r="112" customFormat="false" ht="15" hidden="false" customHeight="false" outlineLevel="0" collapsed="false">
      <c r="A112" s="2"/>
      <c r="K112" s="3"/>
      <c r="M112" s="3"/>
      <c r="Q112" s="3"/>
      <c r="AD112" s="3"/>
      <c r="AP112" s="3"/>
    </row>
    <row r="113" customFormat="false" ht="15" hidden="false" customHeight="false" outlineLevel="0" collapsed="false">
      <c r="A113" s="2"/>
      <c r="K113" s="3"/>
      <c r="M113" s="3"/>
      <c r="Q113" s="3"/>
      <c r="AD113" s="3"/>
      <c r="AP113" s="3"/>
    </row>
    <row r="114" customFormat="false" ht="15" hidden="false" customHeight="false" outlineLevel="0" collapsed="false">
      <c r="A114" s="2"/>
      <c r="K114" s="3"/>
      <c r="M114" s="3"/>
      <c r="Q114" s="3"/>
      <c r="AD114" s="3"/>
      <c r="AP114" s="3"/>
    </row>
    <row r="115" customFormat="false" ht="15" hidden="false" customHeight="false" outlineLevel="0" collapsed="false">
      <c r="A115" s="2"/>
      <c r="K115" s="3"/>
      <c r="M115" s="3"/>
      <c r="Q115" s="3"/>
      <c r="AD115" s="3"/>
      <c r="AP115" s="3"/>
    </row>
    <row r="116" customFormat="false" ht="15" hidden="false" customHeight="false" outlineLevel="0" collapsed="false">
      <c r="A116" s="2"/>
      <c r="K116" s="3"/>
      <c r="M116" s="3"/>
      <c r="Q116" s="3"/>
      <c r="AD116" s="3"/>
      <c r="AP116" s="3"/>
    </row>
    <row r="117" customFormat="false" ht="15" hidden="false" customHeight="false" outlineLevel="0" collapsed="false">
      <c r="A117" s="2"/>
      <c r="K117" s="3"/>
      <c r="M117" s="3"/>
      <c r="Q117" s="3"/>
      <c r="AD117" s="3"/>
      <c r="AP117" s="3"/>
    </row>
    <row r="118" customFormat="false" ht="15" hidden="false" customHeight="false" outlineLevel="0" collapsed="false">
      <c r="A118" s="2"/>
      <c r="K118" s="3"/>
      <c r="M118" s="3"/>
      <c r="Q118" s="3"/>
      <c r="AD118" s="3"/>
      <c r="AP118" s="3"/>
    </row>
    <row r="119" customFormat="false" ht="15" hidden="false" customHeight="false" outlineLevel="0" collapsed="false">
      <c r="A119" s="2"/>
      <c r="K119" s="3"/>
      <c r="M119" s="3"/>
      <c r="Q119" s="3"/>
      <c r="AD119" s="3"/>
      <c r="AP119" s="3"/>
    </row>
    <row r="120" customFormat="false" ht="15" hidden="false" customHeight="false" outlineLevel="0" collapsed="false">
      <c r="A120" s="2"/>
      <c r="K120" s="3"/>
      <c r="M120" s="3"/>
      <c r="Q120" s="3"/>
      <c r="AD120" s="3"/>
      <c r="AP120" s="3"/>
    </row>
    <row r="121" customFormat="false" ht="15" hidden="false" customHeight="false" outlineLevel="0" collapsed="false">
      <c r="A121" s="2"/>
      <c r="K121" s="3"/>
      <c r="M121" s="3"/>
      <c r="Q121" s="3"/>
      <c r="AD121" s="3"/>
      <c r="AP121" s="3"/>
    </row>
    <row r="122" customFormat="false" ht="15" hidden="false" customHeight="false" outlineLevel="0" collapsed="false">
      <c r="A122" s="2"/>
      <c r="K122" s="3"/>
      <c r="M122" s="3"/>
      <c r="Q122" s="3"/>
      <c r="AD122" s="3"/>
      <c r="AP122" s="3"/>
    </row>
    <row r="123" customFormat="false" ht="15" hidden="false" customHeight="false" outlineLevel="0" collapsed="false">
      <c r="A123" s="2"/>
      <c r="K123" s="3"/>
      <c r="M123" s="3"/>
      <c r="Q123" s="3"/>
      <c r="AD123" s="3"/>
      <c r="AP123" s="3"/>
    </row>
    <row r="124" customFormat="false" ht="15" hidden="false" customHeight="false" outlineLevel="0" collapsed="false">
      <c r="A124" s="2"/>
      <c r="K124" s="3"/>
      <c r="M124" s="3"/>
      <c r="Q124" s="3"/>
      <c r="AD124" s="3"/>
      <c r="AP124" s="3"/>
    </row>
    <row r="125" customFormat="false" ht="15" hidden="false" customHeight="false" outlineLevel="0" collapsed="false">
      <c r="A125" s="2"/>
      <c r="K125" s="3"/>
      <c r="M125" s="3"/>
      <c r="Q125" s="3"/>
      <c r="AD125" s="3"/>
      <c r="AP125" s="3"/>
    </row>
    <row r="126" customFormat="false" ht="15" hidden="false" customHeight="false" outlineLevel="0" collapsed="false">
      <c r="A126" s="2"/>
      <c r="K126" s="3"/>
      <c r="M126" s="3"/>
      <c r="Q126" s="3"/>
      <c r="AD126" s="3"/>
      <c r="AP126" s="3"/>
    </row>
    <row r="127" customFormat="false" ht="15" hidden="false" customHeight="false" outlineLevel="0" collapsed="false">
      <c r="A127" s="2"/>
      <c r="K127" s="3"/>
      <c r="M127" s="3"/>
      <c r="Q127" s="3"/>
      <c r="AD127" s="3"/>
      <c r="AP127" s="3"/>
    </row>
    <row r="128" customFormat="false" ht="15" hidden="false" customHeight="false" outlineLevel="0" collapsed="false">
      <c r="A128" s="2"/>
      <c r="K128" s="3"/>
      <c r="M128" s="3"/>
      <c r="Q128" s="3"/>
      <c r="AD128" s="3"/>
      <c r="AP128" s="3"/>
    </row>
    <row r="129" customFormat="false" ht="15" hidden="false" customHeight="false" outlineLevel="0" collapsed="false">
      <c r="A129" s="2"/>
      <c r="K129" s="3"/>
      <c r="M129" s="3"/>
      <c r="Q129" s="3"/>
      <c r="AD129" s="3"/>
      <c r="AP129" s="3"/>
    </row>
    <row r="130" customFormat="false" ht="15" hidden="false" customHeight="false" outlineLevel="0" collapsed="false">
      <c r="A130" s="2"/>
      <c r="K130" s="3"/>
      <c r="M130" s="3"/>
      <c r="Q130" s="3"/>
      <c r="AD130" s="3"/>
      <c r="AP130" s="3"/>
    </row>
    <row r="131" customFormat="false" ht="15" hidden="false" customHeight="false" outlineLevel="0" collapsed="false">
      <c r="A131" s="2"/>
      <c r="K131" s="3"/>
      <c r="M131" s="3"/>
      <c r="Q131" s="3"/>
      <c r="AD131" s="3"/>
      <c r="AP131" s="3"/>
    </row>
    <row r="132" customFormat="false" ht="15" hidden="false" customHeight="false" outlineLevel="0" collapsed="false">
      <c r="A132" s="2"/>
      <c r="K132" s="3"/>
      <c r="M132" s="3"/>
      <c r="Q132" s="3"/>
      <c r="AD132" s="3"/>
      <c r="AP132" s="3"/>
    </row>
    <row r="133" customFormat="false" ht="15" hidden="false" customHeight="false" outlineLevel="0" collapsed="false">
      <c r="A133" s="2"/>
      <c r="K133" s="3"/>
      <c r="M133" s="3"/>
      <c r="Q133" s="3"/>
      <c r="AD133" s="3"/>
      <c r="AP133" s="3"/>
    </row>
    <row r="134" customFormat="false" ht="15" hidden="false" customHeight="false" outlineLevel="0" collapsed="false">
      <c r="A134" s="2"/>
      <c r="K134" s="3"/>
      <c r="M134" s="3"/>
      <c r="Q134" s="3"/>
      <c r="AD134" s="3"/>
      <c r="AP134" s="3"/>
    </row>
    <row r="135" customFormat="false" ht="15" hidden="false" customHeight="false" outlineLevel="0" collapsed="false">
      <c r="A135" s="2"/>
      <c r="K135" s="3"/>
      <c r="M135" s="3"/>
      <c r="Q135" s="3"/>
      <c r="AD135" s="3"/>
      <c r="AP135" s="3"/>
    </row>
    <row r="136" customFormat="false" ht="15" hidden="false" customHeight="false" outlineLevel="0" collapsed="false">
      <c r="A136" s="2"/>
      <c r="K136" s="3"/>
      <c r="M136" s="3"/>
      <c r="Q136" s="3"/>
      <c r="AD136" s="3"/>
      <c r="AP136" s="3"/>
    </row>
    <row r="137" customFormat="false" ht="15" hidden="false" customHeight="false" outlineLevel="0" collapsed="false">
      <c r="A137" s="2"/>
      <c r="K137" s="3"/>
      <c r="M137" s="3"/>
      <c r="Q137" s="3"/>
      <c r="AD137" s="3"/>
      <c r="AP137" s="3"/>
    </row>
    <row r="138" customFormat="false" ht="15" hidden="false" customHeight="false" outlineLevel="0" collapsed="false">
      <c r="A138" s="2"/>
      <c r="K138" s="3"/>
      <c r="M138" s="3"/>
      <c r="Q138" s="3"/>
      <c r="AD138" s="3"/>
      <c r="AP138" s="3"/>
    </row>
    <row r="139" customFormat="false" ht="15" hidden="false" customHeight="false" outlineLevel="0" collapsed="false">
      <c r="A139" s="2"/>
      <c r="K139" s="3"/>
      <c r="M139" s="3"/>
      <c r="Q139" s="3"/>
      <c r="AD139" s="3"/>
      <c r="AP139" s="3"/>
    </row>
    <row r="140" customFormat="false" ht="15" hidden="false" customHeight="false" outlineLevel="0" collapsed="false">
      <c r="A140" s="2"/>
      <c r="K140" s="3"/>
      <c r="M140" s="3"/>
      <c r="Q140" s="3"/>
      <c r="AD140" s="3"/>
      <c r="AP140" s="3"/>
    </row>
    <row r="141" customFormat="false" ht="15" hidden="false" customHeight="false" outlineLevel="0" collapsed="false">
      <c r="A141" s="2"/>
      <c r="K141" s="3"/>
      <c r="M141" s="3"/>
      <c r="Q141" s="3"/>
      <c r="AD141" s="3"/>
      <c r="AP141" s="3"/>
    </row>
    <row r="142" customFormat="false" ht="15" hidden="false" customHeight="false" outlineLevel="0" collapsed="false">
      <c r="A142" s="2"/>
      <c r="K142" s="3"/>
      <c r="M142" s="3"/>
      <c r="Q142" s="3"/>
      <c r="AD142" s="3"/>
      <c r="AP142" s="3"/>
    </row>
    <row r="143" customFormat="false" ht="15" hidden="false" customHeight="false" outlineLevel="0" collapsed="false">
      <c r="A143" s="2"/>
      <c r="K143" s="3"/>
      <c r="M143" s="3"/>
      <c r="Q143" s="3"/>
      <c r="AD143" s="3"/>
      <c r="AP143" s="3"/>
    </row>
    <row r="144" customFormat="false" ht="15" hidden="false" customHeight="false" outlineLevel="0" collapsed="false">
      <c r="A144" s="2"/>
      <c r="K144" s="3"/>
      <c r="M144" s="3"/>
      <c r="Q144" s="3"/>
      <c r="AD144" s="3"/>
      <c r="AP144" s="3"/>
    </row>
    <row r="145" customFormat="false" ht="15" hidden="false" customHeight="false" outlineLevel="0" collapsed="false">
      <c r="A145" s="2"/>
      <c r="K145" s="3"/>
      <c r="M145" s="3"/>
      <c r="Q145" s="3"/>
      <c r="AD145" s="3"/>
      <c r="AP145" s="3"/>
    </row>
    <row r="146" customFormat="false" ht="15" hidden="false" customHeight="false" outlineLevel="0" collapsed="false">
      <c r="A146" s="2"/>
      <c r="K146" s="3"/>
      <c r="M146" s="3"/>
      <c r="Q146" s="3"/>
      <c r="AD146" s="3"/>
      <c r="AP146" s="3"/>
    </row>
    <row r="147" customFormat="false" ht="15" hidden="false" customHeight="false" outlineLevel="0" collapsed="false">
      <c r="A147" s="2"/>
      <c r="K147" s="3"/>
      <c r="M147" s="3"/>
      <c r="Q147" s="3"/>
      <c r="AD147" s="3"/>
      <c r="AP147" s="3"/>
    </row>
    <row r="148" customFormat="false" ht="15" hidden="false" customHeight="false" outlineLevel="0" collapsed="false">
      <c r="A148" s="2"/>
      <c r="K148" s="3"/>
      <c r="M148" s="3"/>
      <c r="Q148" s="3"/>
      <c r="AD148" s="3"/>
      <c r="AP148" s="3"/>
    </row>
    <row r="149" customFormat="false" ht="15" hidden="false" customHeight="false" outlineLevel="0" collapsed="false">
      <c r="A149" s="2"/>
      <c r="K149" s="3"/>
      <c r="M149" s="3"/>
      <c r="Q149" s="3"/>
      <c r="AD149" s="3"/>
      <c r="AP149" s="3"/>
    </row>
    <row r="150" customFormat="false" ht="15" hidden="false" customHeight="false" outlineLevel="0" collapsed="false">
      <c r="A150" s="2"/>
      <c r="K150" s="3"/>
      <c r="M150" s="3"/>
      <c r="Q150" s="3"/>
      <c r="AD150" s="3"/>
      <c r="AP150" s="3"/>
    </row>
    <row r="151" customFormat="false" ht="15" hidden="false" customHeight="false" outlineLevel="0" collapsed="false">
      <c r="A151" s="2"/>
      <c r="K151" s="3"/>
      <c r="M151" s="3"/>
      <c r="Q151" s="3"/>
      <c r="AD151" s="3"/>
      <c r="AP151" s="3"/>
    </row>
    <row r="152" customFormat="false" ht="15" hidden="false" customHeight="false" outlineLevel="0" collapsed="false">
      <c r="A152" s="2"/>
      <c r="K152" s="3"/>
      <c r="M152" s="3"/>
      <c r="Q152" s="3"/>
      <c r="AD152" s="3"/>
      <c r="AP152" s="3"/>
    </row>
    <row r="153" customFormat="false" ht="15" hidden="false" customHeight="false" outlineLevel="0" collapsed="false">
      <c r="A153" s="2"/>
      <c r="K153" s="3"/>
      <c r="M153" s="3"/>
      <c r="Q153" s="3"/>
      <c r="AD153" s="3"/>
      <c r="AP153" s="3"/>
    </row>
    <row r="154" customFormat="false" ht="15" hidden="false" customHeight="false" outlineLevel="0" collapsed="false">
      <c r="A154" s="2"/>
      <c r="K154" s="3"/>
      <c r="M154" s="3"/>
      <c r="Q154" s="3"/>
      <c r="AD154" s="3"/>
      <c r="AP154" s="3"/>
    </row>
    <row r="155" customFormat="false" ht="15" hidden="false" customHeight="false" outlineLevel="0" collapsed="false">
      <c r="A155" s="2"/>
      <c r="K155" s="3"/>
      <c r="M155" s="3"/>
      <c r="Q155" s="3"/>
      <c r="AD155" s="3"/>
      <c r="AP155" s="3"/>
    </row>
    <row r="156" customFormat="false" ht="15" hidden="false" customHeight="false" outlineLevel="0" collapsed="false">
      <c r="A156" s="2"/>
      <c r="K156" s="3"/>
      <c r="M156" s="3"/>
      <c r="Q156" s="3"/>
      <c r="AD156" s="3"/>
      <c r="AP156" s="3"/>
    </row>
    <row r="157" customFormat="false" ht="15" hidden="false" customHeight="false" outlineLevel="0" collapsed="false">
      <c r="A157" s="2"/>
      <c r="K157" s="3"/>
      <c r="M157" s="3"/>
      <c r="Q157" s="3"/>
      <c r="AD157" s="3"/>
      <c r="AP157" s="3"/>
    </row>
    <row r="158" customFormat="false" ht="15" hidden="false" customHeight="false" outlineLevel="0" collapsed="false">
      <c r="A158" s="2"/>
      <c r="K158" s="3"/>
      <c r="M158" s="3"/>
      <c r="Q158" s="3"/>
      <c r="AD158" s="3"/>
      <c r="AP158" s="3"/>
    </row>
    <row r="159" customFormat="false" ht="15" hidden="false" customHeight="false" outlineLevel="0" collapsed="false">
      <c r="A159" s="2"/>
      <c r="K159" s="3"/>
      <c r="M159" s="3"/>
      <c r="Q159" s="3"/>
      <c r="AD159" s="3"/>
      <c r="AP159" s="3"/>
    </row>
    <row r="160" customFormat="false" ht="15" hidden="false" customHeight="false" outlineLevel="0" collapsed="false">
      <c r="A160" s="2"/>
      <c r="K160" s="3"/>
      <c r="M160" s="3"/>
      <c r="Q160" s="3"/>
      <c r="AD160" s="3"/>
      <c r="AP160" s="3"/>
    </row>
    <row r="161" customFormat="false" ht="15" hidden="false" customHeight="false" outlineLevel="0" collapsed="false">
      <c r="A161" s="2"/>
      <c r="K161" s="3"/>
      <c r="M161" s="3"/>
      <c r="Q161" s="3"/>
      <c r="AD161" s="3"/>
      <c r="AP161" s="3"/>
    </row>
    <row r="162" customFormat="false" ht="15" hidden="false" customHeight="false" outlineLevel="0" collapsed="false">
      <c r="A162" s="2"/>
      <c r="K162" s="3"/>
      <c r="M162" s="3"/>
      <c r="Q162" s="3"/>
      <c r="AD162" s="3"/>
      <c r="AP162" s="3"/>
    </row>
    <row r="163" customFormat="false" ht="15" hidden="false" customHeight="false" outlineLevel="0" collapsed="false">
      <c r="A163" s="2"/>
      <c r="K163" s="3"/>
      <c r="M163" s="3"/>
      <c r="Q163" s="3"/>
      <c r="AD163" s="3"/>
      <c r="AP163" s="3"/>
    </row>
    <row r="164" customFormat="false" ht="15" hidden="false" customHeight="false" outlineLevel="0" collapsed="false">
      <c r="A164" s="2"/>
      <c r="K164" s="3"/>
      <c r="M164" s="3"/>
      <c r="Q164" s="3"/>
      <c r="AD164" s="3"/>
      <c r="AP164" s="3"/>
    </row>
    <row r="165" customFormat="false" ht="15" hidden="false" customHeight="false" outlineLevel="0" collapsed="false">
      <c r="A165" s="2"/>
      <c r="K165" s="3"/>
      <c r="M165" s="3"/>
      <c r="Q165" s="3"/>
      <c r="AD165" s="3"/>
      <c r="AP165" s="3"/>
    </row>
    <row r="166" customFormat="false" ht="15" hidden="false" customHeight="false" outlineLevel="0" collapsed="false">
      <c r="A166" s="2"/>
      <c r="K166" s="3"/>
      <c r="M166" s="3"/>
      <c r="Q166" s="3"/>
      <c r="AD166" s="3"/>
      <c r="AP166" s="3"/>
    </row>
    <row r="167" customFormat="false" ht="15" hidden="false" customHeight="false" outlineLevel="0" collapsed="false">
      <c r="A167" s="2"/>
      <c r="K167" s="3"/>
      <c r="M167" s="3"/>
      <c r="Q167" s="3"/>
      <c r="AD167" s="3"/>
      <c r="AP167" s="3"/>
    </row>
    <row r="168" customFormat="false" ht="15" hidden="false" customHeight="false" outlineLevel="0" collapsed="false">
      <c r="A168" s="2"/>
      <c r="K168" s="3"/>
      <c r="M168" s="3"/>
      <c r="Q168" s="3"/>
      <c r="AD168" s="3"/>
      <c r="AP168" s="3"/>
    </row>
    <row r="169" customFormat="false" ht="15" hidden="false" customHeight="false" outlineLevel="0" collapsed="false">
      <c r="A169" s="2"/>
      <c r="K169" s="3"/>
      <c r="M169" s="3"/>
      <c r="Q169" s="3"/>
      <c r="AD169" s="3"/>
      <c r="AP169" s="3"/>
    </row>
    <row r="170" customFormat="false" ht="15" hidden="false" customHeight="false" outlineLevel="0" collapsed="false">
      <c r="A170" s="2"/>
      <c r="K170" s="3"/>
      <c r="M170" s="3"/>
      <c r="Q170" s="3"/>
      <c r="AD170" s="3"/>
      <c r="AP170" s="3"/>
    </row>
    <row r="171" customFormat="false" ht="15" hidden="false" customHeight="false" outlineLevel="0" collapsed="false">
      <c r="A171" s="2"/>
      <c r="K171" s="3"/>
      <c r="M171" s="3"/>
      <c r="Q171" s="3"/>
      <c r="AD171" s="3"/>
      <c r="AP171" s="3"/>
    </row>
    <row r="172" customFormat="false" ht="15" hidden="false" customHeight="false" outlineLevel="0" collapsed="false">
      <c r="A172" s="2"/>
      <c r="K172" s="3"/>
      <c r="M172" s="3"/>
      <c r="Q172" s="3"/>
      <c r="AD172" s="3"/>
      <c r="AP172" s="3"/>
    </row>
    <row r="173" customFormat="false" ht="15" hidden="false" customHeight="false" outlineLevel="0" collapsed="false">
      <c r="A173" s="2"/>
      <c r="K173" s="3"/>
      <c r="M173" s="3"/>
      <c r="Q173" s="3"/>
      <c r="AD173" s="3"/>
      <c r="AP173" s="3"/>
    </row>
    <row r="174" customFormat="false" ht="15" hidden="false" customHeight="false" outlineLevel="0" collapsed="false">
      <c r="A174" s="2"/>
      <c r="K174" s="3"/>
      <c r="M174" s="3"/>
      <c r="Q174" s="3"/>
      <c r="AD174" s="3"/>
      <c r="AP174" s="3"/>
    </row>
    <row r="175" customFormat="false" ht="15" hidden="false" customHeight="false" outlineLevel="0" collapsed="false">
      <c r="A175" s="2"/>
      <c r="K175" s="3"/>
      <c r="M175" s="3"/>
      <c r="Q175" s="3"/>
      <c r="AD175" s="3"/>
      <c r="AP175" s="3"/>
    </row>
    <row r="176" customFormat="false" ht="15" hidden="false" customHeight="false" outlineLevel="0" collapsed="false">
      <c r="A176" s="2"/>
      <c r="K176" s="3"/>
      <c r="M176" s="3"/>
      <c r="Q176" s="3"/>
      <c r="AD176" s="3"/>
      <c r="AP176" s="3"/>
    </row>
    <row r="177" customFormat="false" ht="15" hidden="false" customHeight="false" outlineLevel="0" collapsed="false">
      <c r="A177" s="2"/>
      <c r="K177" s="3"/>
      <c r="M177" s="3"/>
      <c r="Q177" s="3"/>
      <c r="AD177" s="3"/>
      <c r="AP177" s="3"/>
    </row>
    <row r="178" customFormat="false" ht="15" hidden="false" customHeight="false" outlineLevel="0" collapsed="false">
      <c r="A178" s="2"/>
      <c r="K178" s="3"/>
      <c r="M178" s="3"/>
      <c r="Q178" s="3"/>
      <c r="AD178" s="3"/>
      <c r="AP178" s="3"/>
    </row>
    <row r="179" customFormat="false" ht="15" hidden="false" customHeight="false" outlineLevel="0" collapsed="false">
      <c r="A179" s="2"/>
      <c r="K179" s="3"/>
      <c r="M179" s="3"/>
      <c r="Q179" s="3"/>
      <c r="AD179" s="3"/>
      <c r="AP179" s="3"/>
    </row>
    <row r="180" customFormat="false" ht="15" hidden="false" customHeight="false" outlineLevel="0" collapsed="false">
      <c r="A180" s="2"/>
      <c r="K180" s="3"/>
      <c r="M180" s="3"/>
      <c r="Q180" s="3"/>
      <c r="AD180" s="3"/>
      <c r="AP180" s="3"/>
    </row>
    <row r="181" customFormat="false" ht="15" hidden="false" customHeight="false" outlineLevel="0" collapsed="false">
      <c r="A181" s="2"/>
      <c r="K181" s="3"/>
      <c r="M181" s="3"/>
      <c r="Q181" s="3"/>
      <c r="AD181" s="3"/>
      <c r="AP181" s="3"/>
    </row>
    <row r="182" customFormat="false" ht="15" hidden="false" customHeight="false" outlineLevel="0" collapsed="false">
      <c r="A182" s="2"/>
      <c r="K182" s="3"/>
      <c r="M182" s="3"/>
      <c r="Q182" s="3"/>
      <c r="AD182" s="3"/>
      <c r="AP182" s="3"/>
    </row>
    <row r="183" customFormat="false" ht="15" hidden="false" customHeight="false" outlineLevel="0" collapsed="false">
      <c r="A183" s="2"/>
      <c r="K183" s="3"/>
      <c r="M183" s="3"/>
      <c r="Q183" s="3"/>
      <c r="AD183" s="3"/>
      <c r="AP183" s="3"/>
    </row>
    <row r="184" customFormat="false" ht="15" hidden="false" customHeight="false" outlineLevel="0" collapsed="false">
      <c r="A184" s="2"/>
      <c r="K184" s="3"/>
      <c r="M184" s="3"/>
      <c r="Q184" s="3"/>
      <c r="AD184" s="3"/>
      <c r="AP184" s="3"/>
    </row>
    <row r="185" customFormat="false" ht="15" hidden="false" customHeight="false" outlineLevel="0" collapsed="false">
      <c r="A185" s="2"/>
      <c r="K185" s="3"/>
      <c r="M185" s="3"/>
      <c r="Q185" s="3"/>
      <c r="AD185" s="3"/>
      <c r="AP185" s="3"/>
    </row>
    <row r="186" customFormat="false" ht="15" hidden="false" customHeight="false" outlineLevel="0" collapsed="false">
      <c r="A186" s="2"/>
      <c r="K186" s="3"/>
      <c r="M186" s="3"/>
      <c r="Q186" s="3"/>
      <c r="AD186" s="3"/>
      <c r="AP186" s="3"/>
    </row>
    <row r="187" customFormat="false" ht="15" hidden="false" customHeight="false" outlineLevel="0" collapsed="false">
      <c r="A187" s="2"/>
      <c r="K187" s="3"/>
      <c r="M187" s="3"/>
      <c r="Q187" s="3"/>
      <c r="AD187" s="3"/>
      <c r="AP187" s="3"/>
    </row>
    <row r="188" customFormat="false" ht="15" hidden="false" customHeight="false" outlineLevel="0" collapsed="false">
      <c r="A188" s="2"/>
      <c r="K188" s="3"/>
      <c r="M188" s="3"/>
      <c r="Q188" s="3"/>
      <c r="AD188" s="3"/>
      <c r="AP188" s="3"/>
    </row>
    <row r="189" customFormat="false" ht="15" hidden="false" customHeight="false" outlineLevel="0" collapsed="false">
      <c r="A189" s="2"/>
      <c r="K189" s="3"/>
      <c r="M189" s="3"/>
      <c r="Q189" s="3"/>
      <c r="AD189" s="3"/>
      <c r="AP189" s="3"/>
    </row>
    <row r="190" customFormat="false" ht="15" hidden="false" customHeight="false" outlineLevel="0" collapsed="false">
      <c r="A190" s="2"/>
      <c r="K190" s="3"/>
      <c r="M190" s="3"/>
      <c r="Q190" s="3"/>
      <c r="AD190" s="3"/>
      <c r="AP190" s="3"/>
    </row>
    <row r="191" customFormat="false" ht="15" hidden="false" customHeight="false" outlineLevel="0" collapsed="false">
      <c r="A191" s="2"/>
      <c r="K191" s="3"/>
      <c r="M191" s="3"/>
      <c r="Q191" s="3"/>
      <c r="AD191" s="3"/>
      <c r="AP191" s="3"/>
    </row>
    <row r="192" customFormat="false" ht="15" hidden="false" customHeight="false" outlineLevel="0" collapsed="false">
      <c r="A192" s="2"/>
      <c r="K192" s="3"/>
      <c r="M192" s="3"/>
      <c r="Q192" s="3"/>
      <c r="AD192" s="3"/>
      <c r="AP192" s="3"/>
    </row>
    <row r="193" customFormat="false" ht="15" hidden="false" customHeight="false" outlineLevel="0" collapsed="false">
      <c r="A193" s="2"/>
      <c r="K193" s="3"/>
      <c r="M193" s="3"/>
      <c r="Q193" s="3"/>
      <c r="AD193" s="3"/>
      <c r="AP193" s="3"/>
    </row>
    <row r="194" customFormat="false" ht="15" hidden="false" customHeight="false" outlineLevel="0" collapsed="false">
      <c r="A194" s="2"/>
      <c r="K194" s="3"/>
      <c r="M194" s="3"/>
      <c r="Q194" s="3"/>
      <c r="AD194" s="3"/>
      <c r="AP194" s="3"/>
    </row>
    <row r="195" customFormat="false" ht="15" hidden="false" customHeight="false" outlineLevel="0" collapsed="false">
      <c r="A195" s="2"/>
      <c r="K195" s="3"/>
      <c r="M195" s="3"/>
      <c r="Q195" s="3"/>
      <c r="AD195" s="3"/>
      <c r="AP195" s="3"/>
    </row>
    <row r="196" customFormat="false" ht="15" hidden="false" customHeight="false" outlineLevel="0" collapsed="false">
      <c r="A196" s="2"/>
      <c r="K196" s="3"/>
      <c r="M196" s="3"/>
      <c r="Q196" s="3"/>
      <c r="AD196" s="3"/>
      <c r="AP196" s="3"/>
    </row>
    <row r="197" customFormat="false" ht="15" hidden="false" customHeight="false" outlineLevel="0" collapsed="false">
      <c r="A197" s="2"/>
      <c r="K197" s="3"/>
      <c r="M197" s="3"/>
      <c r="Q197" s="3"/>
      <c r="AD197" s="3"/>
      <c r="AP197" s="3"/>
    </row>
    <row r="198" customFormat="false" ht="15" hidden="false" customHeight="false" outlineLevel="0" collapsed="false">
      <c r="A198" s="2"/>
      <c r="K198" s="3"/>
      <c r="M198" s="3"/>
      <c r="Q198" s="3"/>
      <c r="AD198" s="3"/>
      <c r="AP198" s="3"/>
    </row>
    <row r="199" customFormat="false" ht="15" hidden="false" customHeight="false" outlineLevel="0" collapsed="false">
      <c r="A199" s="2"/>
      <c r="K199" s="3"/>
      <c r="M199" s="3"/>
      <c r="Q199" s="3"/>
      <c r="AD199" s="3"/>
      <c r="AP199" s="3"/>
    </row>
    <row r="200" customFormat="false" ht="15" hidden="false" customHeight="false" outlineLevel="0" collapsed="false">
      <c r="A200" s="2"/>
      <c r="K200" s="3"/>
      <c r="M200" s="3"/>
      <c r="Q200" s="3"/>
      <c r="AD200" s="3"/>
      <c r="AP200" s="3"/>
    </row>
    <row r="201" customFormat="false" ht="15" hidden="false" customHeight="false" outlineLevel="0" collapsed="false">
      <c r="A201" s="2"/>
      <c r="K201" s="3"/>
      <c r="M201" s="3"/>
      <c r="Q201" s="3"/>
      <c r="AD201" s="3"/>
      <c r="AP201" s="3"/>
    </row>
    <row r="202" customFormat="false" ht="15" hidden="false" customHeight="false" outlineLevel="0" collapsed="false">
      <c r="A202" s="2"/>
      <c r="K202" s="3"/>
      <c r="M202" s="3"/>
      <c r="Q202" s="3"/>
      <c r="AD202" s="3"/>
      <c r="AP202" s="3"/>
    </row>
    <row r="203" customFormat="false" ht="15" hidden="false" customHeight="false" outlineLevel="0" collapsed="false">
      <c r="A203" s="2"/>
      <c r="K203" s="3"/>
      <c r="M203" s="3"/>
      <c r="Q203" s="3"/>
      <c r="AD203" s="3"/>
      <c r="AP203" s="3"/>
    </row>
    <row r="204" customFormat="false" ht="15" hidden="false" customHeight="false" outlineLevel="0" collapsed="false">
      <c r="A204" s="2"/>
      <c r="K204" s="3"/>
      <c r="M204" s="3"/>
      <c r="Q204" s="3"/>
      <c r="AD204" s="3"/>
      <c r="AP204" s="3"/>
    </row>
    <row r="205" customFormat="false" ht="15" hidden="false" customHeight="false" outlineLevel="0" collapsed="false">
      <c r="A205" s="2"/>
      <c r="K205" s="3"/>
      <c r="M205" s="3"/>
      <c r="Q205" s="3"/>
      <c r="AD205" s="3"/>
      <c r="AP205" s="3"/>
    </row>
    <row r="206" customFormat="false" ht="15" hidden="false" customHeight="false" outlineLevel="0" collapsed="false">
      <c r="A206" s="2"/>
      <c r="K206" s="3"/>
      <c r="M206" s="3"/>
      <c r="Q206" s="3"/>
      <c r="AD206" s="3"/>
      <c r="AP206" s="3"/>
    </row>
    <row r="207" customFormat="false" ht="15" hidden="false" customHeight="false" outlineLevel="0" collapsed="false">
      <c r="A207" s="2"/>
      <c r="K207" s="3"/>
      <c r="M207" s="3"/>
      <c r="Q207" s="3"/>
      <c r="AD207" s="3"/>
      <c r="AP207" s="3"/>
    </row>
    <row r="208" customFormat="false" ht="15" hidden="false" customHeight="false" outlineLevel="0" collapsed="false">
      <c r="A208" s="2"/>
      <c r="K208" s="3"/>
      <c r="M208" s="3"/>
      <c r="Q208" s="3"/>
      <c r="AD208" s="3"/>
      <c r="AP208" s="3"/>
    </row>
    <row r="209" customFormat="false" ht="15" hidden="false" customHeight="false" outlineLevel="0" collapsed="false">
      <c r="A209" s="2"/>
      <c r="K209" s="3"/>
      <c r="M209" s="3"/>
      <c r="Q209" s="3"/>
      <c r="AD209" s="3"/>
      <c r="AP209" s="3"/>
    </row>
    <row r="210" customFormat="false" ht="15" hidden="false" customHeight="false" outlineLevel="0" collapsed="false">
      <c r="A210" s="2"/>
      <c r="K210" s="3"/>
      <c r="M210" s="3"/>
      <c r="Q210" s="3"/>
      <c r="AD210" s="3"/>
      <c r="AP210" s="3"/>
    </row>
    <row r="211" customFormat="false" ht="15" hidden="false" customHeight="false" outlineLevel="0" collapsed="false">
      <c r="A211" s="2"/>
      <c r="K211" s="3"/>
      <c r="M211" s="3"/>
      <c r="Q211" s="3"/>
      <c r="AD211" s="3"/>
      <c r="AP211" s="3"/>
    </row>
    <row r="212" customFormat="false" ht="15" hidden="false" customHeight="false" outlineLevel="0" collapsed="false">
      <c r="A212" s="2"/>
      <c r="K212" s="3"/>
      <c r="M212" s="3"/>
      <c r="Q212" s="3"/>
      <c r="AD212" s="3"/>
      <c r="AP212" s="3"/>
    </row>
    <row r="213" customFormat="false" ht="15" hidden="false" customHeight="false" outlineLevel="0" collapsed="false">
      <c r="A213" s="2"/>
      <c r="K213" s="3"/>
      <c r="M213" s="3"/>
      <c r="Q213" s="3"/>
      <c r="AD213" s="3"/>
      <c r="AP213" s="3"/>
    </row>
    <row r="214" customFormat="false" ht="15" hidden="false" customHeight="false" outlineLevel="0" collapsed="false">
      <c r="A214" s="2"/>
      <c r="K214" s="3"/>
      <c r="M214" s="3"/>
      <c r="Q214" s="3"/>
      <c r="AD214" s="3"/>
      <c r="AP214" s="3"/>
    </row>
    <row r="215" customFormat="false" ht="15" hidden="false" customHeight="false" outlineLevel="0" collapsed="false">
      <c r="A215" s="2"/>
      <c r="K215" s="3"/>
      <c r="M215" s="3"/>
      <c r="Q215" s="3"/>
      <c r="AD215" s="3"/>
      <c r="AP215" s="3"/>
    </row>
    <row r="216" customFormat="false" ht="15" hidden="false" customHeight="false" outlineLevel="0" collapsed="false">
      <c r="A216" s="2"/>
      <c r="K216" s="3"/>
      <c r="M216" s="3"/>
      <c r="Q216" s="3"/>
      <c r="AD216" s="3"/>
      <c r="AP216" s="3"/>
    </row>
    <row r="217" customFormat="false" ht="15" hidden="false" customHeight="false" outlineLevel="0" collapsed="false">
      <c r="A217" s="2"/>
      <c r="K217" s="3"/>
      <c r="M217" s="3"/>
      <c r="Q217" s="3"/>
      <c r="AD217" s="3"/>
      <c r="AP217" s="3"/>
    </row>
    <row r="218" customFormat="false" ht="15" hidden="false" customHeight="false" outlineLevel="0" collapsed="false">
      <c r="A218" s="2"/>
      <c r="K218" s="3"/>
      <c r="M218" s="3"/>
      <c r="Q218" s="3"/>
      <c r="AD218" s="3"/>
      <c r="AP218" s="3"/>
    </row>
    <row r="219" customFormat="false" ht="15" hidden="false" customHeight="false" outlineLevel="0" collapsed="false">
      <c r="A219" s="2"/>
      <c r="K219" s="3"/>
      <c r="M219" s="3"/>
      <c r="Q219" s="3"/>
      <c r="AD219" s="3"/>
      <c r="AP219" s="3"/>
    </row>
    <row r="220" customFormat="false" ht="15" hidden="false" customHeight="false" outlineLevel="0" collapsed="false">
      <c r="A220" s="2"/>
      <c r="K220" s="3"/>
      <c r="M220" s="3"/>
      <c r="Q220" s="3"/>
      <c r="AD220" s="3"/>
      <c r="AP220" s="3"/>
    </row>
    <row r="221" customFormat="false" ht="15" hidden="false" customHeight="false" outlineLevel="0" collapsed="false">
      <c r="A221" s="2"/>
      <c r="K221" s="3"/>
      <c r="M221" s="3"/>
      <c r="Q221" s="3"/>
      <c r="AD221" s="3"/>
      <c r="AP221" s="3"/>
    </row>
    <row r="222" customFormat="false" ht="15" hidden="false" customHeight="false" outlineLevel="0" collapsed="false">
      <c r="A222" s="2"/>
      <c r="K222" s="3"/>
      <c r="M222" s="3"/>
      <c r="Q222" s="3"/>
      <c r="AD222" s="3"/>
      <c r="AP222" s="3"/>
    </row>
    <row r="223" customFormat="false" ht="15" hidden="false" customHeight="false" outlineLevel="0" collapsed="false">
      <c r="A223" s="2"/>
      <c r="K223" s="3"/>
      <c r="M223" s="3"/>
      <c r="Q223" s="3"/>
      <c r="AD223" s="3"/>
      <c r="AP223" s="3"/>
    </row>
    <row r="224" customFormat="false" ht="15" hidden="false" customHeight="false" outlineLevel="0" collapsed="false">
      <c r="A224" s="2"/>
      <c r="K224" s="3"/>
      <c r="M224" s="3"/>
      <c r="Q224" s="3"/>
      <c r="AD224" s="3"/>
      <c r="AP224" s="3"/>
    </row>
    <row r="225" customFormat="false" ht="15" hidden="false" customHeight="false" outlineLevel="0" collapsed="false">
      <c r="A225" s="2"/>
      <c r="K225" s="3"/>
      <c r="M225" s="3"/>
      <c r="Q225" s="3"/>
      <c r="AD225" s="3"/>
      <c r="AP225" s="3"/>
    </row>
    <row r="226" customFormat="false" ht="15" hidden="false" customHeight="false" outlineLevel="0" collapsed="false">
      <c r="A226" s="2"/>
      <c r="K226" s="3"/>
      <c r="M226" s="3"/>
      <c r="Q226" s="3"/>
      <c r="AD226" s="3"/>
      <c r="AP226" s="3"/>
    </row>
    <row r="227" customFormat="false" ht="15" hidden="false" customHeight="false" outlineLevel="0" collapsed="false">
      <c r="A227" s="2"/>
      <c r="K227" s="3"/>
      <c r="M227" s="3"/>
      <c r="Q227" s="3"/>
      <c r="AD227" s="3"/>
      <c r="AP227" s="3"/>
    </row>
    <row r="228" customFormat="false" ht="15" hidden="false" customHeight="false" outlineLevel="0" collapsed="false">
      <c r="A228" s="2"/>
      <c r="K228" s="3"/>
      <c r="M228" s="3"/>
      <c r="Q228" s="3"/>
      <c r="AD228" s="3"/>
      <c r="AP228" s="3"/>
    </row>
    <row r="229" customFormat="false" ht="15" hidden="false" customHeight="false" outlineLevel="0" collapsed="false">
      <c r="A229" s="2"/>
      <c r="K229" s="3"/>
      <c r="M229" s="3"/>
      <c r="Q229" s="3"/>
      <c r="AD229" s="3"/>
      <c r="AP229" s="3"/>
    </row>
    <row r="230" customFormat="false" ht="15" hidden="false" customHeight="false" outlineLevel="0" collapsed="false">
      <c r="A230" s="2"/>
      <c r="K230" s="3"/>
      <c r="M230" s="3"/>
      <c r="Q230" s="3"/>
      <c r="AD230" s="3"/>
      <c r="AP230" s="3"/>
    </row>
    <row r="231" customFormat="false" ht="15" hidden="false" customHeight="false" outlineLevel="0" collapsed="false">
      <c r="A231" s="2"/>
      <c r="K231" s="3"/>
      <c r="M231" s="3"/>
      <c r="Q231" s="3"/>
      <c r="AD231" s="3"/>
      <c r="AP231" s="3"/>
    </row>
    <row r="232" customFormat="false" ht="15" hidden="false" customHeight="false" outlineLevel="0" collapsed="false">
      <c r="A232" s="2"/>
      <c r="K232" s="3"/>
      <c r="M232" s="3"/>
      <c r="Q232" s="3"/>
      <c r="AD232" s="3"/>
      <c r="AP232" s="3"/>
    </row>
    <row r="233" customFormat="false" ht="15" hidden="false" customHeight="false" outlineLevel="0" collapsed="false">
      <c r="A233" s="2"/>
      <c r="K233" s="3"/>
      <c r="M233" s="3"/>
      <c r="Q233" s="3"/>
      <c r="AD233" s="3"/>
      <c r="AP233" s="3"/>
    </row>
    <row r="234" customFormat="false" ht="15" hidden="false" customHeight="false" outlineLevel="0" collapsed="false">
      <c r="A234" s="2"/>
      <c r="K234" s="3"/>
      <c r="M234" s="3"/>
      <c r="Q234" s="3"/>
      <c r="AD234" s="3"/>
      <c r="AP234" s="3"/>
    </row>
    <row r="235" customFormat="false" ht="15" hidden="false" customHeight="false" outlineLevel="0" collapsed="false">
      <c r="A235" s="2"/>
      <c r="K235" s="3"/>
      <c r="M235" s="3"/>
      <c r="Q235" s="3"/>
      <c r="AD235" s="3"/>
      <c r="AP235" s="3"/>
    </row>
    <row r="236" customFormat="false" ht="15" hidden="false" customHeight="false" outlineLevel="0" collapsed="false">
      <c r="A236" s="2"/>
      <c r="K236" s="3"/>
      <c r="M236" s="3"/>
      <c r="Q236" s="3"/>
      <c r="AD236" s="3"/>
      <c r="AP236" s="3"/>
    </row>
    <row r="237" customFormat="false" ht="15" hidden="false" customHeight="false" outlineLevel="0" collapsed="false">
      <c r="A237" s="2"/>
      <c r="K237" s="3"/>
      <c r="M237" s="3"/>
      <c r="Q237" s="3"/>
      <c r="AD237" s="3"/>
      <c r="AP237" s="3"/>
    </row>
    <row r="238" customFormat="false" ht="15" hidden="false" customHeight="false" outlineLevel="0" collapsed="false">
      <c r="A238" s="2"/>
      <c r="K238" s="3"/>
      <c r="M238" s="3"/>
      <c r="Q238" s="3"/>
      <c r="AD238" s="3"/>
      <c r="AP238" s="3"/>
    </row>
    <row r="239" customFormat="false" ht="15" hidden="false" customHeight="false" outlineLevel="0" collapsed="false">
      <c r="A239" s="2"/>
      <c r="K239" s="3"/>
      <c r="M239" s="3"/>
      <c r="Q239" s="3"/>
      <c r="AD239" s="3"/>
      <c r="AP239" s="3"/>
    </row>
    <row r="240" customFormat="false" ht="15" hidden="false" customHeight="false" outlineLevel="0" collapsed="false">
      <c r="A240" s="2"/>
      <c r="K240" s="3"/>
      <c r="M240" s="3"/>
      <c r="Q240" s="3"/>
      <c r="AD240" s="3"/>
      <c r="AP240" s="3"/>
    </row>
    <row r="241" customFormat="false" ht="15" hidden="false" customHeight="false" outlineLevel="0" collapsed="false">
      <c r="A241" s="2"/>
      <c r="K241" s="3"/>
      <c r="M241" s="3"/>
      <c r="Q241" s="3"/>
      <c r="AD241" s="3"/>
      <c r="AP241" s="3"/>
    </row>
    <row r="242" customFormat="false" ht="15" hidden="false" customHeight="false" outlineLevel="0" collapsed="false">
      <c r="A242" s="2"/>
      <c r="K242" s="3"/>
      <c r="M242" s="3"/>
      <c r="Q242" s="3"/>
      <c r="AD242" s="3"/>
      <c r="AP242" s="3"/>
    </row>
    <row r="243" customFormat="false" ht="15" hidden="false" customHeight="false" outlineLevel="0" collapsed="false">
      <c r="A243" s="2"/>
      <c r="K243" s="3"/>
      <c r="M243" s="3"/>
      <c r="Q243" s="3"/>
      <c r="AD243" s="3"/>
      <c r="AP243" s="3"/>
    </row>
    <row r="244" customFormat="false" ht="15" hidden="false" customHeight="false" outlineLevel="0" collapsed="false">
      <c r="A244" s="2"/>
      <c r="K244" s="3"/>
      <c r="M244" s="3"/>
      <c r="Q244" s="3"/>
      <c r="AD244" s="3"/>
      <c r="AP244" s="3"/>
    </row>
    <row r="245" customFormat="false" ht="15" hidden="false" customHeight="false" outlineLevel="0" collapsed="false">
      <c r="A245" s="2"/>
      <c r="K245" s="3"/>
      <c r="M245" s="3"/>
      <c r="Q245" s="3"/>
      <c r="AD245" s="3"/>
      <c r="AP245" s="3"/>
    </row>
    <row r="246" customFormat="false" ht="15" hidden="false" customHeight="false" outlineLevel="0" collapsed="false">
      <c r="A246" s="2"/>
      <c r="K246" s="3"/>
      <c r="M246" s="3"/>
      <c r="Q246" s="3"/>
      <c r="AD246" s="3"/>
      <c r="AP246" s="3"/>
    </row>
    <row r="247" customFormat="false" ht="15" hidden="false" customHeight="false" outlineLevel="0" collapsed="false">
      <c r="A247" s="2"/>
      <c r="K247" s="3"/>
      <c r="M247" s="3"/>
      <c r="Q247" s="3"/>
      <c r="AD247" s="3"/>
      <c r="AP247" s="3"/>
    </row>
    <row r="248" customFormat="false" ht="15" hidden="false" customHeight="false" outlineLevel="0" collapsed="false">
      <c r="A248" s="2"/>
      <c r="K248" s="3"/>
      <c r="M248" s="3"/>
      <c r="Q248" s="3"/>
      <c r="AD248" s="3"/>
      <c r="AP248" s="3"/>
    </row>
    <row r="249" customFormat="false" ht="15" hidden="false" customHeight="false" outlineLevel="0" collapsed="false">
      <c r="A249" s="2"/>
      <c r="K249" s="3"/>
      <c r="M249" s="3"/>
      <c r="Q249" s="3"/>
      <c r="AD249" s="3"/>
      <c r="AP249" s="3"/>
    </row>
    <row r="250" customFormat="false" ht="15" hidden="false" customHeight="false" outlineLevel="0" collapsed="false">
      <c r="A250" s="2"/>
      <c r="K250" s="3"/>
      <c r="M250" s="3"/>
      <c r="Q250" s="3"/>
      <c r="AD250" s="3"/>
      <c r="AP250" s="3"/>
    </row>
    <row r="251" customFormat="false" ht="15" hidden="false" customHeight="false" outlineLevel="0" collapsed="false">
      <c r="A251" s="2"/>
      <c r="K251" s="3"/>
      <c r="M251" s="3"/>
      <c r="Q251" s="3"/>
      <c r="AD251" s="3"/>
      <c r="AP251" s="3"/>
    </row>
    <row r="252" customFormat="false" ht="15" hidden="false" customHeight="false" outlineLevel="0" collapsed="false">
      <c r="A252" s="2"/>
      <c r="K252" s="3"/>
      <c r="M252" s="3"/>
      <c r="Q252" s="3"/>
      <c r="AD252" s="3"/>
      <c r="AP252" s="3"/>
    </row>
    <row r="253" customFormat="false" ht="15" hidden="false" customHeight="false" outlineLevel="0" collapsed="false">
      <c r="A253" s="2"/>
      <c r="K253" s="3"/>
      <c r="M253" s="3"/>
      <c r="Q253" s="3"/>
      <c r="AD253" s="3"/>
      <c r="AP253" s="3"/>
    </row>
    <row r="254" customFormat="false" ht="15" hidden="false" customHeight="false" outlineLevel="0" collapsed="false">
      <c r="A254" s="2"/>
      <c r="K254" s="3"/>
      <c r="M254" s="3"/>
      <c r="Q254" s="3"/>
      <c r="AD254" s="3"/>
      <c r="AP254" s="3"/>
    </row>
    <row r="255" customFormat="false" ht="15" hidden="false" customHeight="false" outlineLevel="0" collapsed="false">
      <c r="A255" s="2"/>
      <c r="K255" s="3"/>
      <c r="M255" s="3"/>
      <c r="Q255" s="3"/>
      <c r="AD255" s="3"/>
      <c r="AP255" s="3"/>
    </row>
    <row r="256" customFormat="false" ht="15" hidden="false" customHeight="false" outlineLevel="0" collapsed="false">
      <c r="A256" s="2"/>
      <c r="K256" s="3"/>
      <c r="M256" s="3"/>
      <c r="Q256" s="3"/>
      <c r="AD256" s="3"/>
      <c r="AP256" s="3"/>
    </row>
    <row r="257" customFormat="false" ht="15" hidden="false" customHeight="false" outlineLevel="0" collapsed="false">
      <c r="A257" s="2"/>
      <c r="K257" s="3"/>
      <c r="M257" s="3"/>
      <c r="Q257" s="3"/>
      <c r="AD257" s="3"/>
      <c r="AP257" s="3"/>
    </row>
    <row r="258" customFormat="false" ht="15" hidden="false" customHeight="false" outlineLevel="0" collapsed="false">
      <c r="A258" s="2"/>
      <c r="K258" s="3"/>
      <c r="M258" s="3"/>
      <c r="Q258" s="3"/>
      <c r="AD258" s="3"/>
      <c r="AP258" s="3"/>
    </row>
    <row r="259" customFormat="false" ht="15" hidden="false" customHeight="false" outlineLevel="0" collapsed="false">
      <c r="A259" s="2"/>
      <c r="K259" s="3"/>
      <c r="M259" s="3"/>
      <c r="Q259" s="3"/>
      <c r="AD259" s="3"/>
      <c r="AP259" s="3"/>
    </row>
    <row r="260" customFormat="false" ht="15" hidden="false" customHeight="false" outlineLevel="0" collapsed="false">
      <c r="A260" s="2"/>
      <c r="K260" s="3"/>
      <c r="M260" s="3"/>
      <c r="Q260" s="3"/>
      <c r="AD260" s="3"/>
      <c r="AP260" s="3"/>
    </row>
    <row r="261" customFormat="false" ht="15" hidden="false" customHeight="false" outlineLevel="0" collapsed="false">
      <c r="A261" s="2"/>
      <c r="K261" s="3"/>
      <c r="M261" s="3"/>
      <c r="Q261" s="3"/>
      <c r="AD261" s="3"/>
      <c r="AP261" s="3"/>
    </row>
    <row r="262" customFormat="false" ht="15" hidden="false" customHeight="false" outlineLevel="0" collapsed="false">
      <c r="A262" s="2"/>
      <c r="K262" s="3"/>
      <c r="M262" s="3"/>
      <c r="Q262" s="3"/>
      <c r="AD262" s="3"/>
      <c r="AP262" s="3"/>
    </row>
    <row r="263" customFormat="false" ht="15" hidden="false" customHeight="false" outlineLevel="0" collapsed="false">
      <c r="A263" s="2"/>
      <c r="K263" s="3"/>
      <c r="M263" s="3"/>
      <c r="Q263" s="3"/>
      <c r="AD263" s="3"/>
      <c r="AP263" s="3"/>
    </row>
    <row r="264" customFormat="false" ht="15" hidden="false" customHeight="false" outlineLevel="0" collapsed="false">
      <c r="A264" s="2"/>
      <c r="K264" s="3"/>
      <c r="M264" s="3"/>
      <c r="Q264" s="3"/>
      <c r="AD264" s="3"/>
      <c r="AP264" s="3"/>
    </row>
    <row r="265" customFormat="false" ht="15" hidden="false" customHeight="false" outlineLevel="0" collapsed="false">
      <c r="A265" s="2"/>
      <c r="K265" s="3"/>
      <c r="M265" s="3"/>
      <c r="Q265" s="3"/>
      <c r="AD265" s="3"/>
      <c r="AP265" s="3"/>
    </row>
    <row r="266" customFormat="false" ht="15" hidden="false" customHeight="false" outlineLevel="0" collapsed="false">
      <c r="A266" s="2"/>
      <c r="K266" s="3"/>
      <c r="M266" s="3"/>
      <c r="Q266" s="3"/>
      <c r="AD266" s="3"/>
      <c r="AP266" s="3"/>
    </row>
    <row r="267" customFormat="false" ht="15" hidden="false" customHeight="false" outlineLevel="0" collapsed="false">
      <c r="A267" s="2"/>
      <c r="K267" s="3"/>
      <c r="M267" s="3"/>
      <c r="Q267" s="3"/>
      <c r="AD267" s="3"/>
      <c r="AP267" s="3"/>
    </row>
    <row r="268" customFormat="false" ht="15" hidden="false" customHeight="false" outlineLevel="0" collapsed="false">
      <c r="A268" s="2"/>
      <c r="K268" s="3"/>
      <c r="M268" s="3"/>
      <c r="Q268" s="3"/>
      <c r="AD268" s="3"/>
      <c r="AP268" s="3"/>
    </row>
    <row r="269" customFormat="false" ht="15" hidden="false" customHeight="false" outlineLevel="0" collapsed="false">
      <c r="A269" s="2"/>
      <c r="K269" s="3"/>
      <c r="M269" s="3"/>
      <c r="Q269" s="3"/>
      <c r="AD269" s="3"/>
      <c r="AP269" s="3"/>
    </row>
    <row r="270" customFormat="false" ht="15" hidden="false" customHeight="false" outlineLevel="0" collapsed="false">
      <c r="A270" s="2"/>
      <c r="K270" s="3"/>
      <c r="M270" s="3"/>
      <c r="Q270" s="3"/>
      <c r="AD270" s="3"/>
      <c r="AP270" s="3"/>
    </row>
    <row r="271" customFormat="false" ht="15" hidden="false" customHeight="false" outlineLevel="0" collapsed="false">
      <c r="A271" s="2"/>
      <c r="K271" s="3"/>
      <c r="M271" s="3"/>
      <c r="Q271" s="3"/>
      <c r="AD271" s="3"/>
      <c r="AP271" s="3"/>
    </row>
    <row r="272" customFormat="false" ht="15" hidden="false" customHeight="false" outlineLevel="0" collapsed="false">
      <c r="A272" s="2"/>
      <c r="K272" s="3"/>
      <c r="M272" s="3"/>
      <c r="Q272" s="3"/>
      <c r="AD272" s="3"/>
      <c r="AP272" s="3"/>
    </row>
    <row r="273" customFormat="false" ht="15" hidden="false" customHeight="false" outlineLevel="0" collapsed="false">
      <c r="A273" s="2"/>
      <c r="K273" s="3"/>
      <c r="M273" s="3"/>
      <c r="Q273" s="3"/>
      <c r="AD273" s="3"/>
      <c r="AP273" s="3"/>
    </row>
    <row r="274" customFormat="false" ht="15" hidden="false" customHeight="false" outlineLevel="0" collapsed="false">
      <c r="A274" s="2"/>
      <c r="K274" s="3"/>
      <c r="M274" s="3"/>
      <c r="Q274" s="3"/>
      <c r="AD274" s="3"/>
      <c r="AP274" s="3"/>
    </row>
    <row r="275" customFormat="false" ht="15" hidden="false" customHeight="false" outlineLevel="0" collapsed="false">
      <c r="A275" s="2"/>
      <c r="K275" s="3"/>
      <c r="M275" s="3"/>
      <c r="Q275" s="3"/>
      <c r="AD275" s="3"/>
      <c r="AP275" s="3"/>
    </row>
    <row r="276" customFormat="false" ht="15" hidden="false" customHeight="false" outlineLevel="0" collapsed="false">
      <c r="A276" s="2"/>
      <c r="K276" s="3"/>
      <c r="M276" s="3"/>
      <c r="Q276" s="3"/>
      <c r="AD276" s="3"/>
      <c r="AP276" s="3"/>
    </row>
    <row r="277" customFormat="false" ht="15" hidden="false" customHeight="false" outlineLevel="0" collapsed="false">
      <c r="A277" s="2"/>
      <c r="K277" s="3"/>
      <c r="M277" s="3"/>
      <c r="Q277" s="3"/>
      <c r="AD277" s="3"/>
      <c r="AP277" s="3"/>
    </row>
    <row r="278" customFormat="false" ht="15" hidden="false" customHeight="false" outlineLevel="0" collapsed="false">
      <c r="A278" s="2"/>
      <c r="K278" s="3"/>
      <c r="M278" s="3"/>
      <c r="Q278" s="3"/>
      <c r="AD278" s="3"/>
      <c r="AP278" s="3"/>
    </row>
    <row r="279" customFormat="false" ht="15" hidden="false" customHeight="false" outlineLevel="0" collapsed="false">
      <c r="A279" s="2"/>
      <c r="K279" s="3"/>
      <c r="M279" s="3"/>
      <c r="Q279" s="3"/>
      <c r="AD279" s="3"/>
      <c r="AP279" s="3"/>
    </row>
    <row r="280" customFormat="false" ht="15" hidden="false" customHeight="false" outlineLevel="0" collapsed="false">
      <c r="A280" s="2"/>
      <c r="K280" s="3"/>
      <c r="M280" s="3"/>
      <c r="Q280" s="3"/>
      <c r="AD280" s="3"/>
      <c r="AP280" s="3"/>
    </row>
    <row r="281" customFormat="false" ht="15" hidden="false" customHeight="false" outlineLevel="0" collapsed="false">
      <c r="A281" s="2"/>
      <c r="K281" s="3"/>
      <c r="M281" s="3"/>
      <c r="Q281" s="3"/>
      <c r="AD281" s="3"/>
      <c r="AP281" s="3"/>
    </row>
    <row r="282" customFormat="false" ht="15" hidden="false" customHeight="false" outlineLevel="0" collapsed="false">
      <c r="A282" s="2"/>
      <c r="K282" s="3"/>
      <c r="M282" s="3"/>
      <c r="Q282" s="3"/>
      <c r="AD282" s="3"/>
      <c r="AP282" s="3"/>
    </row>
    <row r="283" customFormat="false" ht="15" hidden="false" customHeight="false" outlineLevel="0" collapsed="false">
      <c r="A283" s="2"/>
      <c r="K283" s="3"/>
      <c r="M283" s="3"/>
      <c r="Q283" s="3"/>
      <c r="AD283" s="3"/>
      <c r="AP283" s="3"/>
    </row>
    <row r="284" customFormat="false" ht="15" hidden="false" customHeight="false" outlineLevel="0" collapsed="false">
      <c r="A284" s="2"/>
      <c r="K284" s="3"/>
      <c r="M284" s="3"/>
      <c r="Q284" s="3"/>
      <c r="AD284" s="3"/>
      <c r="AP284" s="3"/>
    </row>
    <row r="285" customFormat="false" ht="15" hidden="false" customHeight="false" outlineLevel="0" collapsed="false">
      <c r="A285" s="2"/>
      <c r="K285" s="3"/>
      <c r="M285" s="3"/>
      <c r="Q285" s="3"/>
      <c r="AD285" s="3"/>
      <c r="AP285" s="3"/>
    </row>
    <row r="286" customFormat="false" ht="15" hidden="false" customHeight="false" outlineLevel="0" collapsed="false">
      <c r="A286" s="2"/>
      <c r="K286" s="3"/>
      <c r="M286" s="3"/>
      <c r="Q286" s="3"/>
      <c r="AD286" s="3"/>
      <c r="AP286" s="3"/>
    </row>
    <row r="287" customFormat="false" ht="15" hidden="false" customHeight="false" outlineLevel="0" collapsed="false">
      <c r="A287" s="2"/>
      <c r="K287" s="3"/>
      <c r="M287" s="3"/>
      <c r="Q287" s="3"/>
      <c r="AD287" s="3"/>
      <c r="AP287" s="3"/>
    </row>
    <row r="288" customFormat="false" ht="15" hidden="false" customHeight="false" outlineLevel="0" collapsed="false">
      <c r="A288" s="2"/>
      <c r="K288" s="3"/>
      <c r="M288" s="3"/>
      <c r="Q288" s="3"/>
      <c r="AD288" s="3"/>
      <c r="AP288" s="3"/>
    </row>
    <row r="289" customFormat="false" ht="15" hidden="false" customHeight="false" outlineLevel="0" collapsed="false">
      <c r="A289" s="2"/>
      <c r="K289" s="3"/>
      <c r="M289" s="3"/>
      <c r="Q289" s="3"/>
      <c r="AD289" s="3"/>
      <c r="AP289" s="3"/>
    </row>
    <row r="290" customFormat="false" ht="15" hidden="false" customHeight="false" outlineLevel="0" collapsed="false">
      <c r="A290" s="2"/>
      <c r="K290" s="3"/>
      <c r="M290" s="3"/>
      <c r="Q290" s="3"/>
      <c r="AD290" s="3"/>
      <c r="AP290" s="3"/>
    </row>
    <row r="291" customFormat="false" ht="15" hidden="false" customHeight="false" outlineLevel="0" collapsed="false">
      <c r="A291" s="2"/>
      <c r="K291" s="3"/>
      <c r="M291" s="3"/>
      <c r="Q291" s="3"/>
      <c r="AD291" s="3"/>
      <c r="AP291" s="3"/>
    </row>
    <row r="292" customFormat="false" ht="15" hidden="false" customHeight="false" outlineLevel="0" collapsed="false">
      <c r="A292" s="2"/>
      <c r="K292" s="3"/>
      <c r="M292" s="3"/>
      <c r="Q292" s="3"/>
      <c r="AD292" s="3"/>
      <c r="AP292" s="3"/>
    </row>
    <row r="293" customFormat="false" ht="15" hidden="false" customHeight="false" outlineLevel="0" collapsed="false">
      <c r="A293" s="2"/>
      <c r="K293" s="3"/>
      <c r="M293" s="3"/>
      <c r="Q293" s="3"/>
      <c r="AD293" s="3"/>
      <c r="AP293" s="3"/>
    </row>
    <row r="294" customFormat="false" ht="15" hidden="false" customHeight="false" outlineLevel="0" collapsed="false">
      <c r="A294" s="2"/>
      <c r="K294" s="3"/>
      <c r="M294" s="3"/>
      <c r="Q294" s="3"/>
      <c r="AD294" s="3"/>
      <c r="AP294" s="3"/>
    </row>
    <row r="295" customFormat="false" ht="15" hidden="false" customHeight="false" outlineLevel="0" collapsed="false">
      <c r="A295" s="2"/>
      <c r="K295" s="3"/>
      <c r="M295" s="3"/>
      <c r="Q295" s="3"/>
      <c r="AD295" s="3"/>
      <c r="AP295" s="3"/>
    </row>
    <row r="296" customFormat="false" ht="15" hidden="false" customHeight="false" outlineLevel="0" collapsed="false">
      <c r="A296" s="2"/>
      <c r="K296" s="3"/>
      <c r="M296" s="3"/>
      <c r="Q296" s="3"/>
      <c r="AD296" s="3"/>
      <c r="AP296" s="3"/>
    </row>
    <row r="297" customFormat="false" ht="15" hidden="false" customHeight="false" outlineLevel="0" collapsed="false">
      <c r="A297" s="2"/>
      <c r="K297" s="3"/>
      <c r="M297" s="3"/>
      <c r="Q297" s="3"/>
      <c r="AD297" s="3"/>
      <c r="AP297" s="3"/>
    </row>
    <row r="298" customFormat="false" ht="15" hidden="false" customHeight="false" outlineLevel="0" collapsed="false">
      <c r="A298" s="2"/>
      <c r="K298" s="3"/>
      <c r="M298" s="3"/>
      <c r="Q298" s="3"/>
      <c r="AD298" s="3"/>
      <c r="AP298" s="3"/>
    </row>
    <row r="299" customFormat="false" ht="15" hidden="false" customHeight="false" outlineLevel="0" collapsed="false">
      <c r="A299" s="2"/>
      <c r="K299" s="3"/>
      <c r="M299" s="3"/>
      <c r="Q299" s="3"/>
      <c r="AD299" s="3"/>
      <c r="AP299" s="3"/>
    </row>
    <row r="300" customFormat="false" ht="15" hidden="false" customHeight="false" outlineLevel="0" collapsed="false">
      <c r="A300" s="2"/>
      <c r="K300" s="3"/>
      <c r="M300" s="3"/>
      <c r="Q300" s="3"/>
      <c r="AD300" s="3"/>
      <c r="AP300" s="3"/>
    </row>
    <row r="301" customFormat="false" ht="15" hidden="false" customHeight="false" outlineLevel="0" collapsed="false">
      <c r="A301" s="2"/>
      <c r="K301" s="3"/>
      <c r="M301" s="3"/>
      <c r="Q301" s="3"/>
      <c r="AD301" s="3"/>
      <c r="AP301" s="3"/>
    </row>
    <row r="302" customFormat="false" ht="15" hidden="false" customHeight="false" outlineLevel="0" collapsed="false">
      <c r="A302" s="2"/>
      <c r="K302" s="3"/>
      <c r="M302" s="3"/>
      <c r="Q302" s="3"/>
      <c r="AD302" s="3"/>
      <c r="AP302" s="3"/>
    </row>
    <row r="303" customFormat="false" ht="15" hidden="false" customHeight="false" outlineLevel="0" collapsed="false">
      <c r="A303" s="2"/>
      <c r="K303" s="3"/>
      <c r="M303" s="3"/>
      <c r="Q303" s="3"/>
      <c r="AD303" s="3"/>
      <c r="AP303" s="3"/>
    </row>
    <row r="304" customFormat="false" ht="15" hidden="false" customHeight="false" outlineLevel="0" collapsed="false">
      <c r="A304" s="2"/>
      <c r="K304" s="3"/>
      <c r="M304" s="3"/>
      <c r="Q304" s="3"/>
      <c r="AD304" s="3"/>
      <c r="AP304" s="3"/>
    </row>
    <row r="305" customFormat="false" ht="15" hidden="false" customHeight="false" outlineLevel="0" collapsed="false">
      <c r="A305" s="2"/>
      <c r="K305" s="3"/>
      <c r="M305" s="3"/>
      <c r="Q305" s="3"/>
      <c r="AD305" s="3"/>
      <c r="AP305" s="3"/>
    </row>
    <row r="306" customFormat="false" ht="15" hidden="false" customHeight="false" outlineLevel="0" collapsed="false">
      <c r="A306" s="2"/>
      <c r="K306" s="3"/>
      <c r="M306" s="3"/>
      <c r="Q306" s="3"/>
      <c r="AD306" s="3"/>
      <c r="AP306" s="3"/>
    </row>
    <row r="307" customFormat="false" ht="15" hidden="false" customHeight="false" outlineLevel="0" collapsed="false">
      <c r="A307" s="2"/>
      <c r="K307" s="3"/>
      <c r="M307" s="3"/>
      <c r="Q307" s="3"/>
      <c r="AD307" s="3"/>
      <c r="AP307" s="3"/>
    </row>
    <row r="308" customFormat="false" ht="15" hidden="false" customHeight="false" outlineLevel="0" collapsed="false">
      <c r="A308" s="2"/>
      <c r="K308" s="3"/>
      <c r="M308" s="3"/>
      <c r="Q308" s="3"/>
      <c r="AD308" s="3"/>
      <c r="AP308" s="3"/>
    </row>
    <row r="309" customFormat="false" ht="15" hidden="false" customHeight="false" outlineLevel="0" collapsed="false">
      <c r="A309" s="2"/>
      <c r="K309" s="3"/>
      <c r="M309" s="3"/>
      <c r="Q309" s="3"/>
      <c r="AD309" s="3"/>
      <c r="AP309" s="3"/>
    </row>
    <row r="310" customFormat="false" ht="15" hidden="false" customHeight="false" outlineLevel="0" collapsed="false">
      <c r="A310" s="2"/>
      <c r="K310" s="3"/>
      <c r="M310" s="3"/>
      <c r="Q310" s="3"/>
      <c r="AD310" s="3"/>
      <c r="AP310" s="3"/>
    </row>
    <row r="311" customFormat="false" ht="15" hidden="false" customHeight="false" outlineLevel="0" collapsed="false">
      <c r="A311" s="2"/>
      <c r="K311" s="3"/>
      <c r="M311" s="3"/>
      <c r="Q311" s="3"/>
      <c r="AD311" s="3"/>
      <c r="AP311" s="3"/>
    </row>
    <row r="312" customFormat="false" ht="15" hidden="false" customHeight="false" outlineLevel="0" collapsed="false">
      <c r="A312" s="2"/>
      <c r="K312" s="3"/>
      <c r="M312" s="3"/>
      <c r="Q312" s="3"/>
      <c r="AD312" s="3"/>
      <c r="AP312" s="3"/>
    </row>
    <row r="313" customFormat="false" ht="15" hidden="false" customHeight="false" outlineLevel="0" collapsed="false">
      <c r="A313" s="2"/>
      <c r="K313" s="3"/>
      <c r="M313" s="3"/>
      <c r="Q313" s="3"/>
      <c r="AD313" s="3"/>
      <c r="AP313" s="3"/>
    </row>
    <row r="314" customFormat="false" ht="15" hidden="false" customHeight="false" outlineLevel="0" collapsed="false">
      <c r="A314" s="2"/>
      <c r="K314" s="3"/>
      <c r="M314" s="3"/>
      <c r="Q314" s="3"/>
      <c r="AD314" s="3"/>
      <c r="AP314" s="3"/>
    </row>
    <row r="315" customFormat="false" ht="15" hidden="false" customHeight="false" outlineLevel="0" collapsed="false">
      <c r="A315" s="2"/>
      <c r="K315" s="3"/>
      <c r="M315" s="3"/>
      <c r="Q315" s="3"/>
      <c r="AD315" s="3"/>
      <c r="AP315" s="3"/>
    </row>
    <row r="316" customFormat="false" ht="15" hidden="false" customHeight="false" outlineLevel="0" collapsed="false">
      <c r="A316" s="2"/>
      <c r="K316" s="3"/>
      <c r="M316" s="3"/>
      <c r="Q316" s="3"/>
      <c r="AD316" s="3"/>
      <c r="AP316" s="3"/>
    </row>
    <row r="317" customFormat="false" ht="15" hidden="false" customHeight="false" outlineLevel="0" collapsed="false">
      <c r="A317" s="2"/>
      <c r="K317" s="3"/>
      <c r="M317" s="3"/>
      <c r="Q317" s="3"/>
      <c r="AD317" s="3"/>
      <c r="AP317" s="3"/>
    </row>
    <row r="318" customFormat="false" ht="15" hidden="false" customHeight="false" outlineLevel="0" collapsed="false">
      <c r="A318" s="2"/>
      <c r="K318" s="3"/>
      <c r="M318" s="3"/>
      <c r="Q318" s="3"/>
      <c r="AD318" s="3"/>
      <c r="AP318" s="3"/>
    </row>
    <row r="319" customFormat="false" ht="15" hidden="false" customHeight="false" outlineLevel="0" collapsed="false">
      <c r="A319" s="2"/>
      <c r="K319" s="3"/>
      <c r="M319" s="3"/>
      <c r="Q319" s="3"/>
      <c r="AD319" s="3"/>
      <c r="AP319" s="3"/>
    </row>
    <row r="320" customFormat="false" ht="15" hidden="false" customHeight="false" outlineLevel="0" collapsed="false">
      <c r="A320" s="2"/>
      <c r="K320" s="3"/>
      <c r="M320" s="3"/>
      <c r="Q320" s="3"/>
      <c r="AD320" s="3"/>
      <c r="AP320" s="3"/>
    </row>
    <row r="321" customFormat="false" ht="15" hidden="false" customHeight="false" outlineLevel="0" collapsed="false">
      <c r="A321" s="2"/>
      <c r="K321" s="3"/>
      <c r="M321" s="3"/>
      <c r="Q321" s="3"/>
      <c r="AD321" s="3"/>
      <c r="AP321" s="3"/>
    </row>
    <row r="322" customFormat="false" ht="15" hidden="false" customHeight="false" outlineLevel="0" collapsed="false">
      <c r="A322" s="2"/>
      <c r="K322" s="3"/>
      <c r="M322" s="3"/>
      <c r="Q322" s="3"/>
      <c r="AD322" s="3"/>
      <c r="AP322" s="3"/>
    </row>
    <row r="323" customFormat="false" ht="15" hidden="false" customHeight="false" outlineLevel="0" collapsed="false">
      <c r="A323" s="2"/>
      <c r="K323" s="3"/>
      <c r="M323" s="3"/>
      <c r="Q323" s="3"/>
      <c r="AD323" s="3"/>
      <c r="AP323" s="3"/>
    </row>
    <row r="324" customFormat="false" ht="15" hidden="false" customHeight="false" outlineLevel="0" collapsed="false">
      <c r="A324" s="2"/>
      <c r="K324" s="3"/>
      <c r="M324" s="3"/>
      <c r="Q324" s="3"/>
      <c r="AD324" s="3"/>
      <c r="AP324" s="3"/>
    </row>
    <row r="325" customFormat="false" ht="15" hidden="false" customHeight="false" outlineLevel="0" collapsed="false">
      <c r="A325" s="2"/>
      <c r="K325" s="3"/>
      <c r="M325" s="3"/>
      <c r="Q325" s="3"/>
      <c r="AD325" s="3"/>
      <c r="AP325" s="3"/>
    </row>
    <row r="326" customFormat="false" ht="15" hidden="false" customHeight="false" outlineLevel="0" collapsed="false">
      <c r="A326" s="2"/>
      <c r="K326" s="3"/>
      <c r="M326" s="3"/>
      <c r="Q326" s="3"/>
      <c r="AD326" s="3"/>
      <c r="AP326" s="3"/>
    </row>
    <row r="327" customFormat="false" ht="15" hidden="false" customHeight="false" outlineLevel="0" collapsed="false">
      <c r="A327" s="2"/>
      <c r="K327" s="3"/>
      <c r="M327" s="3"/>
      <c r="Q327" s="3"/>
      <c r="AD327" s="3"/>
      <c r="AP327" s="3"/>
    </row>
    <row r="328" customFormat="false" ht="15" hidden="false" customHeight="false" outlineLevel="0" collapsed="false">
      <c r="A328" s="2"/>
      <c r="K328" s="3"/>
      <c r="M328" s="3"/>
      <c r="Q328" s="3"/>
      <c r="AD328" s="3"/>
      <c r="AP328" s="3"/>
    </row>
    <row r="329" customFormat="false" ht="15" hidden="false" customHeight="false" outlineLevel="0" collapsed="false">
      <c r="A329" s="2"/>
      <c r="K329" s="3"/>
      <c r="M329" s="3"/>
      <c r="Q329" s="3"/>
      <c r="AD329" s="3"/>
      <c r="AP329" s="3"/>
    </row>
    <row r="330" customFormat="false" ht="15" hidden="false" customHeight="false" outlineLevel="0" collapsed="false">
      <c r="A330" s="2"/>
      <c r="K330" s="3"/>
      <c r="M330" s="3"/>
      <c r="Q330" s="3"/>
      <c r="AD330" s="3"/>
      <c r="AP330" s="3"/>
    </row>
    <row r="331" customFormat="false" ht="15" hidden="false" customHeight="false" outlineLevel="0" collapsed="false">
      <c r="A331" s="2"/>
      <c r="K331" s="3"/>
      <c r="M331" s="3"/>
      <c r="Q331" s="3"/>
      <c r="AD331" s="3"/>
      <c r="AP331" s="3"/>
    </row>
    <row r="332" customFormat="false" ht="15" hidden="false" customHeight="false" outlineLevel="0" collapsed="false">
      <c r="A332" s="2"/>
      <c r="K332" s="3"/>
      <c r="M332" s="3"/>
      <c r="Q332" s="3"/>
      <c r="AD332" s="3"/>
      <c r="AP332" s="3"/>
    </row>
    <row r="333" customFormat="false" ht="15" hidden="false" customHeight="false" outlineLevel="0" collapsed="false">
      <c r="A333" s="2"/>
      <c r="K333" s="3"/>
      <c r="M333" s="3"/>
      <c r="Q333" s="3"/>
      <c r="AD333" s="3"/>
      <c r="AP333" s="3"/>
    </row>
    <row r="334" customFormat="false" ht="15" hidden="false" customHeight="false" outlineLevel="0" collapsed="false">
      <c r="A334" s="2"/>
      <c r="K334" s="3"/>
      <c r="M334" s="3"/>
      <c r="Q334" s="3"/>
      <c r="AD334" s="3"/>
      <c r="AP334" s="3"/>
    </row>
    <row r="335" customFormat="false" ht="15" hidden="false" customHeight="false" outlineLevel="0" collapsed="false">
      <c r="A335" s="2"/>
      <c r="K335" s="3"/>
      <c r="M335" s="3"/>
      <c r="Q335" s="3"/>
      <c r="AD335" s="3"/>
      <c r="AP335" s="3"/>
    </row>
    <row r="336" customFormat="false" ht="15" hidden="false" customHeight="false" outlineLevel="0" collapsed="false">
      <c r="A336" s="2"/>
      <c r="K336" s="3"/>
      <c r="M336" s="3"/>
      <c r="Q336" s="3"/>
      <c r="AD336" s="3"/>
      <c r="AP336" s="3"/>
    </row>
    <row r="337" customFormat="false" ht="15" hidden="false" customHeight="false" outlineLevel="0" collapsed="false">
      <c r="A337" s="2"/>
      <c r="K337" s="3"/>
      <c r="M337" s="3"/>
      <c r="Q337" s="3"/>
      <c r="AD337" s="3"/>
      <c r="AP337" s="3"/>
    </row>
    <row r="338" customFormat="false" ht="15" hidden="false" customHeight="false" outlineLevel="0" collapsed="false">
      <c r="A338" s="2"/>
      <c r="K338" s="3"/>
      <c r="M338" s="3"/>
      <c r="Q338" s="3"/>
      <c r="AD338" s="3"/>
      <c r="AP338" s="3"/>
    </row>
    <row r="339" customFormat="false" ht="15" hidden="false" customHeight="false" outlineLevel="0" collapsed="false">
      <c r="A339" s="2"/>
      <c r="K339" s="3"/>
      <c r="M339" s="3"/>
      <c r="Q339" s="3"/>
      <c r="AD339" s="3"/>
      <c r="AP339" s="3"/>
    </row>
    <row r="340" customFormat="false" ht="15" hidden="false" customHeight="false" outlineLevel="0" collapsed="false">
      <c r="A340" s="2"/>
      <c r="K340" s="3"/>
      <c r="M340" s="3"/>
      <c r="Q340" s="3"/>
      <c r="AD340" s="3"/>
      <c r="AP340" s="3"/>
    </row>
    <row r="341" customFormat="false" ht="15" hidden="false" customHeight="false" outlineLevel="0" collapsed="false">
      <c r="A341" s="2"/>
      <c r="K341" s="3"/>
      <c r="M341" s="3"/>
      <c r="Q341" s="3"/>
      <c r="AD341" s="3"/>
      <c r="AP341" s="3"/>
    </row>
    <row r="342" customFormat="false" ht="15" hidden="false" customHeight="false" outlineLevel="0" collapsed="false">
      <c r="A342" s="2"/>
      <c r="K342" s="3"/>
      <c r="M342" s="3"/>
      <c r="Q342" s="3"/>
      <c r="AD342" s="3"/>
      <c r="AP342" s="3"/>
    </row>
    <row r="343" customFormat="false" ht="15" hidden="false" customHeight="false" outlineLevel="0" collapsed="false">
      <c r="A343" s="2"/>
      <c r="K343" s="3"/>
      <c r="M343" s="3"/>
      <c r="Q343" s="3"/>
      <c r="AD343" s="3"/>
      <c r="AP343" s="3"/>
    </row>
    <row r="344" customFormat="false" ht="15" hidden="false" customHeight="false" outlineLevel="0" collapsed="false">
      <c r="A344" s="2"/>
      <c r="K344" s="3"/>
      <c r="M344" s="3"/>
      <c r="Q344" s="3"/>
      <c r="AD344" s="3"/>
      <c r="AP344" s="3"/>
    </row>
    <row r="345" customFormat="false" ht="15" hidden="false" customHeight="false" outlineLevel="0" collapsed="false">
      <c r="A345" s="2"/>
      <c r="K345" s="3"/>
      <c r="M345" s="3"/>
      <c r="Q345" s="3"/>
      <c r="AD345" s="3"/>
      <c r="AP345" s="3"/>
    </row>
    <row r="346" customFormat="false" ht="15" hidden="false" customHeight="false" outlineLevel="0" collapsed="false">
      <c r="A346" s="2"/>
      <c r="K346" s="3"/>
      <c r="M346" s="3"/>
      <c r="Q346" s="3"/>
      <c r="AD346" s="3"/>
      <c r="AP346" s="3"/>
    </row>
    <row r="347" customFormat="false" ht="15" hidden="false" customHeight="false" outlineLevel="0" collapsed="false">
      <c r="A347" s="2"/>
      <c r="K347" s="3"/>
      <c r="M347" s="3"/>
      <c r="Q347" s="3"/>
      <c r="AD347" s="3"/>
      <c r="AP347" s="3"/>
    </row>
    <row r="348" customFormat="false" ht="15" hidden="false" customHeight="false" outlineLevel="0" collapsed="false">
      <c r="A348" s="2"/>
      <c r="K348" s="3"/>
      <c r="M348" s="3"/>
      <c r="Q348" s="3"/>
      <c r="AD348" s="3"/>
      <c r="AP348" s="3"/>
    </row>
    <row r="349" customFormat="false" ht="15" hidden="false" customHeight="false" outlineLevel="0" collapsed="false">
      <c r="A349" s="2"/>
      <c r="K349" s="3"/>
      <c r="M349" s="3"/>
      <c r="Q349" s="3"/>
      <c r="AD349" s="3"/>
      <c r="AP349" s="3"/>
    </row>
    <row r="350" customFormat="false" ht="15" hidden="false" customHeight="false" outlineLevel="0" collapsed="false">
      <c r="A350" s="2"/>
      <c r="K350" s="3"/>
      <c r="M350" s="3"/>
      <c r="Q350" s="3"/>
      <c r="AD350" s="3"/>
      <c r="AP350" s="3"/>
    </row>
    <row r="351" customFormat="false" ht="15" hidden="false" customHeight="false" outlineLevel="0" collapsed="false">
      <c r="A351" s="2"/>
      <c r="K351" s="3"/>
      <c r="M351" s="3"/>
      <c r="Q351" s="3"/>
      <c r="AD351" s="3"/>
      <c r="AP351" s="3"/>
    </row>
    <row r="352" customFormat="false" ht="15" hidden="false" customHeight="false" outlineLevel="0" collapsed="false">
      <c r="A352" s="2"/>
      <c r="K352" s="3"/>
      <c r="M352" s="3"/>
      <c r="Q352" s="3"/>
      <c r="AD352" s="3"/>
      <c r="AP352" s="3"/>
    </row>
    <row r="353" customFormat="false" ht="15" hidden="false" customHeight="false" outlineLevel="0" collapsed="false">
      <c r="A353" s="2"/>
      <c r="K353" s="3"/>
      <c r="M353" s="3"/>
      <c r="Q353" s="3"/>
      <c r="AD353" s="3"/>
      <c r="AP353" s="3"/>
    </row>
    <row r="354" customFormat="false" ht="15" hidden="false" customHeight="false" outlineLevel="0" collapsed="false">
      <c r="A354" s="2"/>
      <c r="K354" s="3"/>
      <c r="M354" s="3"/>
      <c r="Q354" s="3"/>
      <c r="AD354" s="3"/>
      <c r="AP354" s="3"/>
    </row>
    <row r="355" customFormat="false" ht="15" hidden="false" customHeight="false" outlineLevel="0" collapsed="false">
      <c r="A355" s="2"/>
      <c r="K355" s="3"/>
      <c r="M355" s="3"/>
      <c r="Q355" s="3"/>
      <c r="AD355" s="3"/>
      <c r="AP355" s="3"/>
    </row>
    <row r="356" customFormat="false" ht="15" hidden="false" customHeight="false" outlineLevel="0" collapsed="false">
      <c r="A356" s="2"/>
      <c r="K356" s="3"/>
      <c r="M356" s="3"/>
      <c r="Q356" s="3"/>
      <c r="AD356" s="3"/>
      <c r="AP356" s="3"/>
    </row>
    <row r="357" customFormat="false" ht="15" hidden="false" customHeight="false" outlineLevel="0" collapsed="false">
      <c r="A357" s="2"/>
      <c r="K357" s="3"/>
      <c r="M357" s="3"/>
      <c r="Q357" s="3"/>
      <c r="AD357" s="3"/>
      <c r="AP357" s="3"/>
    </row>
    <row r="358" customFormat="false" ht="15" hidden="false" customHeight="false" outlineLevel="0" collapsed="false">
      <c r="A358" s="2"/>
      <c r="K358" s="3"/>
      <c r="M358" s="3"/>
      <c r="Q358" s="3"/>
      <c r="AD358" s="3"/>
      <c r="AP358" s="3"/>
    </row>
    <row r="359" customFormat="false" ht="15" hidden="false" customHeight="false" outlineLevel="0" collapsed="false">
      <c r="A359" s="2"/>
      <c r="K359" s="3"/>
      <c r="M359" s="3"/>
      <c r="Q359" s="3"/>
      <c r="AD359" s="3"/>
      <c r="AP359" s="3"/>
    </row>
    <row r="360" customFormat="false" ht="15" hidden="false" customHeight="false" outlineLevel="0" collapsed="false">
      <c r="A360" s="2"/>
      <c r="K360" s="3"/>
      <c r="M360" s="3"/>
      <c r="Q360" s="3"/>
      <c r="AD360" s="3"/>
      <c r="AP360" s="3"/>
    </row>
    <row r="361" customFormat="false" ht="15" hidden="false" customHeight="false" outlineLevel="0" collapsed="false">
      <c r="A361" s="2"/>
      <c r="K361" s="3"/>
      <c r="M361" s="3"/>
      <c r="Q361" s="3"/>
      <c r="AD361" s="3"/>
      <c r="AP361" s="3"/>
    </row>
    <row r="362" customFormat="false" ht="15" hidden="false" customHeight="false" outlineLevel="0" collapsed="false">
      <c r="A362" s="2"/>
      <c r="K362" s="3"/>
      <c r="M362" s="3"/>
      <c r="Q362" s="3"/>
      <c r="AD362" s="3"/>
      <c r="AP362" s="3"/>
    </row>
    <row r="363" customFormat="false" ht="15" hidden="false" customHeight="false" outlineLevel="0" collapsed="false">
      <c r="A363" s="2"/>
      <c r="K363" s="3"/>
      <c r="M363" s="3"/>
      <c r="Q363" s="3"/>
      <c r="AD363" s="3"/>
      <c r="AP363" s="3"/>
    </row>
    <row r="364" customFormat="false" ht="15" hidden="false" customHeight="false" outlineLevel="0" collapsed="false">
      <c r="A364" s="2"/>
      <c r="K364" s="3"/>
      <c r="M364" s="3"/>
      <c r="Q364" s="3"/>
      <c r="AD364" s="3"/>
      <c r="AP364" s="3"/>
    </row>
    <row r="365" customFormat="false" ht="15" hidden="false" customHeight="false" outlineLevel="0" collapsed="false">
      <c r="A365" s="2"/>
      <c r="K365" s="3"/>
      <c r="M365" s="3"/>
      <c r="Q365" s="3"/>
      <c r="AD365" s="3"/>
      <c r="AP365" s="3"/>
    </row>
    <row r="366" customFormat="false" ht="15" hidden="false" customHeight="false" outlineLevel="0" collapsed="false">
      <c r="A366" s="2"/>
      <c r="K366" s="3"/>
      <c r="M366" s="3"/>
      <c r="Q366" s="3"/>
      <c r="AD366" s="3"/>
      <c r="AP366" s="3"/>
    </row>
    <row r="367" customFormat="false" ht="15" hidden="false" customHeight="false" outlineLevel="0" collapsed="false">
      <c r="A367" s="2"/>
      <c r="K367" s="3"/>
      <c r="M367" s="3"/>
      <c r="Q367" s="3"/>
      <c r="AD367" s="3"/>
      <c r="AP367" s="3"/>
    </row>
    <row r="368" customFormat="false" ht="15" hidden="false" customHeight="false" outlineLevel="0" collapsed="false">
      <c r="A368" s="2"/>
      <c r="K368" s="3"/>
      <c r="M368" s="3"/>
      <c r="Q368" s="3"/>
      <c r="AD368" s="3"/>
      <c r="AP368" s="3"/>
    </row>
    <row r="369" customFormat="false" ht="15" hidden="false" customHeight="false" outlineLevel="0" collapsed="false">
      <c r="A369" s="2"/>
      <c r="K369" s="3"/>
      <c r="M369" s="3"/>
      <c r="Q369" s="3"/>
      <c r="AD369" s="3"/>
      <c r="AP369" s="3"/>
    </row>
    <row r="370" customFormat="false" ht="15" hidden="false" customHeight="false" outlineLevel="0" collapsed="false">
      <c r="A370" s="2"/>
      <c r="K370" s="3"/>
      <c r="M370" s="3"/>
      <c r="Q370" s="3"/>
      <c r="AD370" s="3"/>
      <c r="AP370" s="3"/>
    </row>
    <row r="371" customFormat="false" ht="15" hidden="false" customHeight="false" outlineLevel="0" collapsed="false">
      <c r="A371" s="2"/>
      <c r="K371" s="3"/>
      <c r="M371" s="3"/>
      <c r="Q371" s="3"/>
      <c r="AD371" s="3"/>
      <c r="AP371" s="3"/>
    </row>
    <row r="372" customFormat="false" ht="15" hidden="false" customHeight="false" outlineLevel="0" collapsed="false">
      <c r="A372" s="2"/>
      <c r="K372" s="3"/>
      <c r="M372" s="3"/>
      <c r="Q372" s="3"/>
      <c r="AD372" s="3"/>
      <c r="AP372" s="3"/>
    </row>
    <row r="373" customFormat="false" ht="15" hidden="false" customHeight="false" outlineLevel="0" collapsed="false">
      <c r="A373" s="2"/>
      <c r="K373" s="3"/>
      <c r="M373" s="3"/>
      <c r="Q373" s="3"/>
      <c r="AD373" s="3"/>
      <c r="AP373" s="3"/>
    </row>
    <row r="374" customFormat="false" ht="15" hidden="false" customHeight="false" outlineLevel="0" collapsed="false">
      <c r="A374" s="2"/>
      <c r="K374" s="3"/>
      <c r="M374" s="3"/>
      <c r="Q374" s="3"/>
      <c r="AD374" s="3"/>
      <c r="AP374" s="3"/>
    </row>
    <row r="375" customFormat="false" ht="15" hidden="false" customHeight="false" outlineLevel="0" collapsed="false">
      <c r="A375" s="2"/>
      <c r="K375" s="3"/>
      <c r="M375" s="3"/>
      <c r="Q375" s="3"/>
      <c r="AD375" s="3"/>
      <c r="AP375" s="3"/>
    </row>
    <row r="376" customFormat="false" ht="15" hidden="false" customHeight="false" outlineLevel="0" collapsed="false">
      <c r="A376" s="2"/>
      <c r="K376" s="3"/>
      <c r="M376" s="3"/>
      <c r="Q376" s="3"/>
      <c r="AD376" s="3"/>
      <c r="AP376" s="3"/>
    </row>
    <row r="377" customFormat="false" ht="15" hidden="false" customHeight="false" outlineLevel="0" collapsed="false">
      <c r="A377" s="2"/>
      <c r="K377" s="3"/>
      <c r="M377" s="3"/>
      <c r="Q377" s="3"/>
      <c r="AD377" s="3"/>
      <c r="AP377" s="3"/>
    </row>
    <row r="378" customFormat="false" ht="15" hidden="false" customHeight="false" outlineLevel="0" collapsed="false">
      <c r="A378" s="2"/>
      <c r="K378" s="3"/>
      <c r="M378" s="3"/>
      <c r="Q378" s="3"/>
      <c r="AD378" s="3"/>
      <c r="AP378" s="3"/>
    </row>
    <row r="379" customFormat="false" ht="15" hidden="false" customHeight="false" outlineLevel="0" collapsed="false">
      <c r="A379" s="2"/>
      <c r="K379" s="3"/>
      <c r="M379" s="3"/>
      <c r="Q379" s="3"/>
      <c r="AD379" s="3"/>
      <c r="AP379" s="3"/>
    </row>
    <row r="380" customFormat="false" ht="15" hidden="false" customHeight="false" outlineLevel="0" collapsed="false">
      <c r="A380" s="2"/>
      <c r="K380" s="3"/>
      <c r="M380" s="3"/>
      <c r="Q380" s="3"/>
      <c r="AD380" s="3"/>
      <c r="AP380" s="3"/>
    </row>
    <row r="381" customFormat="false" ht="15" hidden="false" customHeight="false" outlineLevel="0" collapsed="false">
      <c r="A381" s="2"/>
      <c r="K381" s="3"/>
      <c r="M381" s="3"/>
      <c r="Q381" s="3"/>
      <c r="AD381" s="3"/>
      <c r="AP381" s="3"/>
    </row>
    <row r="382" customFormat="false" ht="15" hidden="false" customHeight="false" outlineLevel="0" collapsed="false">
      <c r="A382" s="2"/>
      <c r="K382" s="3"/>
      <c r="M382" s="3"/>
      <c r="Q382" s="3"/>
      <c r="AD382" s="3"/>
      <c r="AP382" s="3"/>
    </row>
    <row r="383" customFormat="false" ht="15" hidden="false" customHeight="false" outlineLevel="0" collapsed="false">
      <c r="A383" s="2"/>
      <c r="K383" s="3"/>
      <c r="M383" s="3"/>
      <c r="Q383" s="3"/>
      <c r="AD383" s="3"/>
      <c r="AP383" s="3"/>
    </row>
    <row r="384" customFormat="false" ht="15" hidden="false" customHeight="false" outlineLevel="0" collapsed="false">
      <c r="A384" s="2"/>
      <c r="K384" s="3"/>
      <c r="M384" s="3"/>
      <c r="Q384" s="3"/>
      <c r="AD384" s="3"/>
      <c r="AP384" s="3"/>
    </row>
    <row r="385" customFormat="false" ht="15" hidden="false" customHeight="false" outlineLevel="0" collapsed="false">
      <c r="A385" s="2"/>
      <c r="K385" s="3"/>
      <c r="M385" s="3"/>
      <c r="Q385" s="3"/>
      <c r="AD385" s="3"/>
      <c r="AP385" s="3"/>
    </row>
    <row r="386" customFormat="false" ht="15" hidden="false" customHeight="false" outlineLevel="0" collapsed="false">
      <c r="A386" s="2"/>
      <c r="K386" s="3"/>
      <c r="M386" s="3"/>
      <c r="Q386" s="3"/>
      <c r="AD386" s="3"/>
      <c r="AP386" s="3"/>
    </row>
    <row r="387" customFormat="false" ht="15" hidden="false" customHeight="false" outlineLevel="0" collapsed="false">
      <c r="A387" s="2"/>
      <c r="K387" s="3"/>
      <c r="M387" s="3"/>
      <c r="Q387" s="3"/>
      <c r="AD387" s="3"/>
      <c r="AP387" s="3"/>
    </row>
    <row r="388" customFormat="false" ht="15" hidden="false" customHeight="false" outlineLevel="0" collapsed="false">
      <c r="A388" s="2"/>
      <c r="K388" s="3"/>
      <c r="M388" s="3"/>
      <c r="Q388" s="3"/>
      <c r="AD388" s="3"/>
      <c r="AP388" s="3"/>
    </row>
    <row r="389" customFormat="false" ht="15" hidden="false" customHeight="false" outlineLevel="0" collapsed="false">
      <c r="A389" s="2"/>
      <c r="K389" s="3"/>
      <c r="M389" s="3"/>
      <c r="Q389" s="3"/>
      <c r="AD389" s="3"/>
      <c r="AP389" s="3"/>
    </row>
    <row r="390" customFormat="false" ht="15" hidden="false" customHeight="false" outlineLevel="0" collapsed="false">
      <c r="A390" s="2"/>
      <c r="K390" s="3"/>
      <c r="M390" s="3"/>
      <c r="Q390" s="3"/>
      <c r="AD390" s="3"/>
      <c r="AP390" s="3"/>
    </row>
    <row r="391" customFormat="false" ht="15" hidden="false" customHeight="false" outlineLevel="0" collapsed="false">
      <c r="A391" s="2"/>
      <c r="K391" s="3"/>
      <c r="M391" s="3"/>
      <c r="Q391" s="3"/>
      <c r="AD391" s="3"/>
      <c r="AP391" s="3"/>
    </row>
    <row r="392" customFormat="false" ht="15" hidden="false" customHeight="false" outlineLevel="0" collapsed="false">
      <c r="A392" s="2"/>
      <c r="K392" s="3"/>
      <c r="M392" s="3"/>
      <c r="Q392" s="3"/>
      <c r="AD392" s="3"/>
      <c r="AP392" s="3"/>
    </row>
    <row r="393" customFormat="false" ht="15" hidden="false" customHeight="false" outlineLevel="0" collapsed="false">
      <c r="A393" s="2"/>
      <c r="K393" s="3"/>
      <c r="M393" s="3"/>
      <c r="Q393" s="3"/>
      <c r="AD393" s="3"/>
      <c r="AP393" s="3"/>
    </row>
    <row r="394" customFormat="false" ht="15" hidden="false" customHeight="false" outlineLevel="0" collapsed="false">
      <c r="A394" s="2"/>
      <c r="K394" s="3"/>
      <c r="M394" s="3"/>
      <c r="Q394" s="3"/>
      <c r="AD394" s="3"/>
      <c r="AP394" s="3"/>
    </row>
    <row r="395" customFormat="false" ht="15" hidden="false" customHeight="false" outlineLevel="0" collapsed="false">
      <c r="A395" s="2"/>
      <c r="K395" s="3"/>
      <c r="M395" s="3"/>
      <c r="Q395" s="3"/>
      <c r="AD395" s="3"/>
      <c r="AP395" s="3"/>
    </row>
    <row r="396" customFormat="false" ht="15" hidden="false" customHeight="false" outlineLevel="0" collapsed="false">
      <c r="A396" s="2"/>
      <c r="K396" s="3"/>
      <c r="M396" s="3"/>
      <c r="Q396" s="3"/>
      <c r="AD396" s="3"/>
      <c r="AP396" s="3"/>
    </row>
    <row r="397" customFormat="false" ht="15" hidden="false" customHeight="false" outlineLevel="0" collapsed="false">
      <c r="A397" s="2"/>
      <c r="K397" s="3"/>
      <c r="M397" s="3"/>
      <c r="Q397" s="3"/>
      <c r="AD397" s="3"/>
      <c r="AP397" s="3"/>
    </row>
    <row r="398" customFormat="false" ht="15" hidden="false" customHeight="false" outlineLevel="0" collapsed="false">
      <c r="A398" s="2"/>
      <c r="K398" s="3"/>
      <c r="M398" s="3"/>
      <c r="Q398" s="3"/>
      <c r="AD398" s="3"/>
      <c r="AP398" s="3"/>
    </row>
    <row r="399" customFormat="false" ht="15" hidden="false" customHeight="false" outlineLevel="0" collapsed="false">
      <c r="A399" s="2"/>
      <c r="K399" s="3"/>
      <c r="M399" s="3"/>
      <c r="Q399" s="3"/>
      <c r="AD399" s="3"/>
      <c r="AP399" s="3"/>
    </row>
    <row r="400" customFormat="false" ht="15" hidden="false" customHeight="false" outlineLevel="0" collapsed="false">
      <c r="A400" s="2"/>
      <c r="K400" s="3"/>
      <c r="M400" s="3"/>
      <c r="Q400" s="3"/>
      <c r="AD400" s="3"/>
      <c r="AP400" s="3"/>
    </row>
    <row r="401" customFormat="false" ht="15" hidden="false" customHeight="false" outlineLevel="0" collapsed="false">
      <c r="A401" s="2"/>
      <c r="K401" s="3"/>
      <c r="M401" s="3"/>
      <c r="Q401" s="3"/>
      <c r="AD401" s="3"/>
      <c r="AP401" s="3"/>
    </row>
    <row r="402" customFormat="false" ht="15" hidden="false" customHeight="false" outlineLevel="0" collapsed="false">
      <c r="A402" s="2"/>
      <c r="K402" s="3"/>
      <c r="M402" s="3"/>
      <c r="Q402" s="3"/>
      <c r="AD402" s="3"/>
      <c r="AP402" s="3"/>
    </row>
    <row r="403" customFormat="false" ht="15" hidden="false" customHeight="false" outlineLevel="0" collapsed="false">
      <c r="A403" s="2"/>
      <c r="K403" s="3"/>
      <c r="M403" s="3"/>
      <c r="Q403" s="3"/>
      <c r="AD403" s="3"/>
      <c r="AP403" s="3"/>
    </row>
    <row r="404" customFormat="false" ht="15" hidden="false" customHeight="false" outlineLevel="0" collapsed="false">
      <c r="A404" s="2"/>
      <c r="K404" s="3"/>
      <c r="M404" s="3"/>
      <c r="Q404" s="3"/>
      <c r="AD404" s="3"/>
      <c r="AP404" s="3"/>
    </row>
    <row r="405" customFormat="false" ht="15" hidden="false" customHeight="false" outlineLevel="0" collapsed="false">
      <c r="A405" s="2"/>
      <c r="K405" s="3"/>
      <c r="M405" s="3"/>
      <c r="Q405" s="3"/>
      <c r="AD405" s="3"/>
      <c r="AP405" s="3"/>
    </row>
    <row r="406" customFormat="false" ht="15" hidden="false" customHeight="false" outlineLevel="0" collapsed="false">
      <c r="A406" s="2"/>
      <c r="K406" s="3"/>
      <c r="M406" s="3"/>
      <c r="Q406" s="3"/>
      <c r="AD406" s="3"/>
      <c r="AP406" s="3"/>
    </row>
    <row r="407" customFormat="false" ht="15" hidden="false" customHeight="false" outlineLevel="0" collapsed="false">
      <c r="A407" s="2"/>
      <c r="K407" s="3"/>
      <c r="M407" s="3"/>
      <c r="Q407" s="3"/>
      <c r="AD407" s="3"/>
      <c r="AP407" s="3"/>
    </row>
    <row r="408" customFormat="false" ht="15" hidden="false" customHeight="false" outlineLevel="0" collapsed="false">
      <c r="A408" s="2"/>
      <c r="K408" s="3"/>
      <c r="M408" s="3"/>
      <c r="Q408" s="3"/>
      <c r="AD408" s="3"/>
      <c r="AP408" s="3"/>
    </row>
    <row r="409" customFormat="false" ht="15" hidden="false" customHeight="false" outlineLevel="0" collapsed="false">
      <c r="A409" s="2"/>
      <c r="K409" s="3"/>
      <c r="M409" s="3"/>
      <c r="Q409" s="3"/>
      <c r="AD409" s="3"/>
      <c r="AP409" s="3"/>
    </row>
    <row r="410" customFormat="false" ht="15" hidden="false" customHeight="false" outlineLevel="0" collapsed="false">
      <c r="A410" s="2"/>
      <c r="K410" s="3"/>
      <c r="M410" s="3"/>
      <c r="Q410" s="3"/>
      <c r="AD410" s="3"/>
      <c r="AP410" s="3"/>
    </row>
    <row r="411" customFormat="false" ht="15" hidden="false" customHeight="false" outlineLevel="0" collapsed="false">
      <c r="A411" s="2"/>
      <c r="K411" s="3"/>
      <c r="M411" s="3"/>
      <c r="Q411" s="3"/>
      <c r="AD411" s="3"/>
      <c r="AP411" s="3"/>
    </row>
    <row r="412" customFormat="false" ht="15" hidden="false" customHeight="false" outlineLevel="0" collapsed="false">
      <c r="A412" s="2"/>
      <c r="K412" s="3"/>
      <c r="M412" s="3"/>
      <c r="Q412" s="3"/>
      <c r="AD412" s="3"/>
      <c r="AP412" s="3"/>
    </row>
    <row r="413" customFormat="false" ht="15" hidden="false" customHeight="false" outlineLevel="0" collapsed="false">
      <c r="A413" s="2"/>
      <c r="K413" s="3"/>
      <c r="M413" s="3"/>
      <c r="Q413" s="3"/>
      <c r="AD413" s="3"/>
      <c r="AP413" s="3"/>
    </row>
    <row r="414" customFormat="false" ht="15" hidden="false" customHeight="false" outlineLevel="0" collapsed="false">
      <c r="A414" s="2"/>
      <c r="K414" s="3"/>
      <c r="M414" s="3"/>
      <c r="Q414" s="3"/>
      <c r="AD414" s="3"/>
      <c r="AP414" s="3"/>
    </row>
    <row r="415" customFormat="false" ht="15" hidden="false" customHeight="false" outlineLevel="0" collapsed="false">
      <c r="A415" s="2"/>
      <c r="K415" s="3"/>
      <c r="M415" s="3"/>
      <c r="Q415" s="3"/>
      <c r="AD415" s="3"/>
      <c r="AP415" s="3"/>
    </row>
    <row r="416" customFormat="false" ht="15" hidden="false" customHeight="false" outlineLevel="0" collapsed="false">
      <c r="A416" s="2"/>
      <c r="K416" s="3"/>
      <c r="M416" s="3"/>
      <c r="Q416" s="3"/>
      <c r="AD416" s="3"/>
      <c r="AP416" s="3"/>
    </row>
    <row r="417" customFormat="false" ht="15" hidden="false" customHeight="false" outlineLevel="0" collapsed="false">
      <c r="A417" s="2"/>
      <c r="K417" s="3"/>
      <c r="M417" s="3"/>
      <c r="Q417" s="3"/>
      <c r="AD417" s="3"/>
      <c r="AP417" s="3"/>
    </row>
    <row r="418" customFormat="false" ht="15" hidden="false" customHeight="false" outlineLevel="0" collapsed="false">
      <c r="A418" s="2"/>
      <c r="K418" s="3"/>
      <c r="M418" s="3"/>
      <c r="Q418" s="3"/>
      <c r="AD418" s="3"/>
      <c r="AP418" s="3"/>
    </row>
    <row r="419" customFormat="false" ht="15" hidden="false" customHeight="false" outlineLevel="0" collapsed="false">
      <c r="A419" s="2"/>
      <c r="K419" s="3"/>
      <c r="M419" s="3"/>
      <c r="Q419" s="3"/>
      <c r="AD419" s="3"/>
      <c r="AP419" s="3"/>
    </row>
    <row r="420" customFormat="false" ht="15" hidden="false" customHeight="false" outlineLevel="0" collapsed="false">
      <c r="A420" s="2"/>
      <c r="K420" s="3"/>
      <c r="M420" s="3"/>
      <c r="Q420" s="3"/>
      <c r="AD420" s="3"/>
      <c r="AP420" s="3"/>
    </row>
    <row r="421" customFormat="false" ht="15" hidden="false" customHeight="false" outlineLevel="0" collapsed="false">
      <c r="A421" s="2"/>
      <c r="K421" s="3"/>
      <c r="M421" s="3"/>
      <c r="Q421" s="3"/>
      <c r="AD421" s="3"/>
      <c r="AP421" s="3"/>
    </row>
    <row r="422" customFormat="false" ht="15" hidden="false" customHeight="false" outlineLevel="0" collapsed="false">
      <c r="A422" s="2"/>
      <c r="K422" s="3"/>
      <c r="M422" s="3"/>
      <c r="Q422" s="3"/>
      <c r="AD422" s="3"/>
      <c r="AP422" s="3"/>
    </row>
    <row r="423" customFormat="false" ht="15" hidden="false" customHeight="false" outlineLevel="0" collapsed="false">
      <c r="A423" s="2"/>
      <c r="K423" s="3"/>
      <c r="M423" s="3"/>
      <c r="Q423" s="3"/>
      <c r="AD423" s="3"/>
      <c r="AP423" s="3"/>
    </row>
    <row r="424" customFormat="false" ht="15" hidden="false" customHeight="false" outlineLevel="0" collapsed="false">
      <c r="A424" s="2"/>
      <c r="K424" s="3"/>
      <c r="M424" s="3"/>
      <c r="Q424" s="3"/>
      <c r="AD424" s="3"/>
      <c r="AP424" s="3"/>
    </row>
    <row r="425" customFormat="false" ht="15" hidden="false" customHeight="false" outlineLevel="0" collapsed="false">
      <c r="A425" s="2"/>
      <c r="K425" s="3"/>
      <c r="M425" s="3"/>
      <c r="Q425" s="3"/>
      <c r="AD425" s="3"/>
      <c r="AP425" s="3"/>
    </row>
    <row r="426" customFormat="false" ht="15" hidden="false" customHeight="false" outlineLevel="0" collapsed="false">
      <c r="A426" s="2"/>
      <c r="K426" s="3"/>
      <c r="M426" s="3"/>
      <c r="Q426" s="3"/>
      <c r="AD426" s="3"/>
      <c r="AP426" s="3"/>
    </row>
    <row r="427" customFormat="false" ht="15" hidden="false" customHeight="false" outlineLevel="0" collapsed="false">
      <c r="A427" s="2"/>
      <c r="K427" s="3"/>
      <c r="M427" s="3"/>
      <c r="Q427" s="3"/>
      <c r="AD427" s="3"/>
      <c r="AP427" s="3"/>
    </row>
    <row r="428" customFormat="false" ht="15" hidden="false" customHeight="false" outlineLevel="0" collapsed="false">
      <c r="A428" s="2"/>
      <c r="K428" s="3"/>
      <c r="M428" s="3"/>
      <c r="Q428" s="3"/>
      <c r="AD428" s="3"/>
      <c r="AP428" s="3"/>
    </row>
    <row r="429" customFormat="false" ht="15" hidden="false" customHeight="false" outlineLevel="0" collapsed="false">
      <c r="A429" s="2"/>
      <c r="K429" s="3"/>
      <c r="M429" s="3"/>
      <c r="Q429" s="3"/>
      <c r="AD429" s="3"/>
      <c r="AP429" s="3"/>
    </row>
    <row r="430" customFormat="false" ht="15" hidden="false" customHeight="false" outlineLevel="0" collapsed="false">
      <c r="A430" s="2"/>
      <c r="K430" s="3"/>
      <c r="M430" s="3"/>
      <c r="Q430" s="3"/>
      <c r="AD430" s="3"/>
      <c r="AP430" s="3"/>
    </row>
    <row r="431" customFormat="false" ht="15" hidden="false" customHeight="false" outlineLevel="0" collapsed="false">
      <c r="A431" s="2"/>
      <c r="K431" s="3"/>
      <c r="M431" s="3"/>
      <c r="Q431" s="3"/>
      <c r="AD431" s="3"/>
      <c r="AP431" s="3"/>
    </row>
    <row r="432" customFormat="false" ht="15" hidden="false" customHeight="false" outlineLevel="0" collapsed="false">
      <c r="A432" s="2"/>
      <c r="K432" s="3"/>
      <c r="M432" s="3"/>
      <c r="Q432" s="3"/>
      <c r="AD432" s="3"/>
      <c r="AP432" s="3"/>
    </row>
    <row r="433" customFormat="false" ht="15" hidden="false" customHeight="false" outlineLevel="0" collapsed="false">
      <c r="A433" s="2"/>
      <c r="K433" s="3"/>
      <c r="M433" s="3"/>
      <c r="Q433" s="3"/>
      <c r="AD433" s="3"/>
      <c r="AP433" s="3"/>
    </row>
    <row r="434" customFormat="false" ht="15" hidden="false" customHeight="false" outlineLevel="0" collapsed="false">
      <c r="A434" s="2"/>
      <c r="K434" s="3"/>
      <c r="M434" s="3"/>
      <c r="Q434" s="3"/>
      <c r="AD434" s="3"/>
      <c r="AP434" s="3"/>
    </row>
    <row r="435" customFormat="false" ht="15" hidden="false" customHeight="false" outlineLevel="0" collapsed="false">
      <c r="A435" s="2"/>
      <c r="K435" s="3"/>
      <c r="M435" s="3"/>
      <c r="Q435" s="3"/>
      <c r="AD435" s="3"/>
      <c r="AP435" s="3"/>
    </row>
    <row r="436" customFormat="false" ht="15" hidden="false" customHeight="false" outlineLevel="0" collapsed="false">
      <c r="A436" s="2"/>
      <c r="K436" s="3"/>
      <c r="M436" s="3"/>
      <c r="Q436" s="3"/>
      <c r="AD436" s="3"/>
      <c r="AP436" s="3"/>
    </row>
    <row r="437" customFormat="false" ht="15" hidden="false" customHeight="false" outlineLevel="0" collapsed="false">
      <c r="A437" s="2"/>
      <c r="K437" s="3"/>
      <c r="M437" s="3"/>
      <c r="Q437" s="3"/>
      <c r="AD437" s="3"/>
      <c r="AP437" s="3"/>
    </row>
    <row r="438" customFormat="false" ht="15" hidden="false" customHeight="false" outlineLevel="0" collapsed="false">
      <c r="A438" s="2"/>
      <c r="K438" s="3"/>
      <c r="M438" s="3"/>
      <c r="Q438" s="3"/>
      <c r="AD438" s="3"/>
      <c r="AP438" s="3"/>
    </row>
    <row r="439" customFormat="false" ht="15" hidden="false" customHeight="false" outlineLevel="0" collapsed="false">
      <c r="A439" s="2"/>
      <c r="K439" s="3"/>
      <c r="M439" s="3"/>
      <c r="Q439" s="3"/>
      <c r="AD439" s="3"/>
      <c r="AP439" s="3"/>
    </row>
    <row r="440" customFormat="false" ht="15" hidden="false" customHeight="false" outlineLevel="0" collapsed="false">
      <c r="A440" s="2"/>
      <c r="K440" s="3"/>
      <c r="M440" s="3"/>
      <c r="Q440" s="3"/>
      <c r="AD440" s="3"/>
      <c r="AP440" s="3"/>
    </row>
    <row r="441" customFormat="false" ht="15" hidden="false" customHeight="false" outlineLevel="0" collapsed="false">
      <c r="A441" s="2"/>
      <c r="K441" s="3"/>
      <c r="M441" s="3"/>
      <c r="Q441" s="3"/>
      <c r="AD441" s="3"/>
      <c r="AP441" s="3"/>
    </row>
    <row r="442" customFormat="false" ht="15" hidden="false" customHeight="false" outlineLevel="0" collapsed="false">
      <c r="A442" s="2"/>
      <c r="K442" s="3"/>
      <c r="M442" s="3"/>
      <c r="Q442" s="3"/>
      <c r="AD442" s="3"/>
      <c r="AP442" s="3"/>
    </row>
    <row r="443" customFormat="false" ht="15" hidden="false" customHeight="false" outlineLevel="0" collapsed="false">
      <c r="A443" s="2"/>
      <c r="K443" s="3"/>
      <c r="M443" s="3"/>
      <c r="Q443" s="3"/>
      <c r="AD443" s="3"/>
      <c r="AP443" s="3"/>
    </row>
    <row r="444" customFormat="false" ht="15" hidden="false" customHeight="false" outlineLevel="0" collapsed="false">
      <c r="A444" s="2"/>
      <c r="K444" s="3"/>
      <c r="M444" s="3"/>
      <c r="Q444" s="3"/>
      <c r="AD444" s="3"/>
      <c r="AP444" s="3"/>
    </row>
    <row r="445" customFormat="false" ht="15" hidden="false" customHeight="false" outlineLevel="0" collapsed="false">
      <c r="A445" s="2"/>
      <c r="K445" s="3"/>
      <c r="M445" s="3"/>
      <c r="Q445" s="3"/>
      <c r="AD445" s="3"/>
      <c r="AP445" s="3"/>
    </row>
    <row r="446" customFormat="false" ht="15" hidden="false" customHeight="false" outlineLevel="0" collapsed="false">
      <c r="A446" s="2"/>
      <c r="K446" s="3"/>
      <c r="M446" s="3"/>
      <c r="Q446" s="3"/>
      <c r="AD446" s="3"/>
      <c r="AP446" s="3"/>
    </row>
    <row r="447" customFormat="false" ht="15" hidden="false" customHeight="false" outlineLevel="0" collapsed="false">
      <c r="A447" s="2"/>
      <c r="K447" s="3"/>
      <c r="M447" s="3"/>
      <c r="Q447" s="3"/>
      <c r="AD447" s="3"/>
      <c r="AP447" s="3"/>
    </row>
    <row r="448" customFormat="false" ht="15" hidden="false" customHeight="false" outlineLevel="0" collapsed="false">
      <c r="A448" s="2"/>
      <c r="K448" s="3"/>
      <c r="M448" s="3"/>
      <c r="Q448" s="3"/>
      <c r="AD448" s="3"/>
      <c r="AP448" s="3"/>
    </row>
    <row r="449" customFormat="false" ht="15" hidden="false" customHeight="false" outlineLevel="0" collapsed="false">
      <c r="A449" s="2"/>
      <c r="K449" s="3"/>
      <c r="M449" s="3"/>
      <c r="Q449" s="3"/>
      <c r="AD449" s="3"/>
      <c r="AP449" s="3"/>
    </row>
    <row r="450" customFormat="false" ht="15" hidden="false" customHeight="false" outlineLevel="0" collapsed="false">
      <c r="A450" s="2"/>
      <c r="K450" s="3"/>
      <c r="M450" s="3"/>
      <c r="Q450" s="3"/>
      <c r="AD450" s="3"/>
      <c r="AP450" s="3"/>
    </row>
    <row r="451" customFormat="false" ht="15" hidden="false" customHeight="false" outlineLevel="0" collapsed="false">
      <c r="A451" s="2"/>
      <c r="K451" s="3"/>
      <c r="M451" s="3"/>
      <c r="Q451" s="3"/>
      <c r="AD451" s="3"/>
      <c r="AP451" s="3"/>
    </row>
    <row r="452" customFormat="false" ht="15" hidden="false" customHeight="false" outlineLevel="0" collapsed="false">
      <c r="A452" s="2"/>
      <c r="K452" s="3"/>
      <c r="M452" s="3"/>
      <c r="Q452" s="3"/>
      <c r="AD452" s="3"/>
      <c r="AP452" s="3"/>
    </row>
    <row r="453" customFormat="false" ht="15" hidden="false" customHeight="false" outlineLevel="0" collapsed="false">
      <c r="A453" s="2"/>
      <c r="K453" s="3"/>
      <c r="M453" s="3"/>
      <c r="Q453" s="3"/>
      <c r="AD453" s="3"/>
      <c r="AP453" s="3"/>
    </row>
    <row r="454" customFormat="false" ht="15" hidden="false" customHeight="false" outlineLevel="0" collapsed="false">
      <c r="A454" s="2"/>
      <c r="K454" s="3"/>
      <c r="M454" s="3"/>
      <c r="Q454" s="3"/>
      <c r="AD454" s="3"/>
      <c r="AP454" s="3"/>
    </row>
    <row r="455" customFormat="false" ht="15" hidden="false" customHeight="false" outlineLevel="0" collapsed="false">
      <c r="A455" s="2"/>
      <c r="K455" s="3"/>
      <c r="M455" s="3"/>
      <c r="Q455" s="3"/>
      <c r="AD455" s="3"/>
      <c r="AP455" s="3"/>
    </row>
    <row r="456" customFormat="false" ht="15" hidden="false" customHeight="false" outlineLevel="0" collapsed="false">
      <c r="A456" s="2"/>
      <c r="K456" s="3"/>
      <c r="M456" s="3"/>
      <c r="Q456" s="3"/>
      <c r="AD456" s="3"/>
      <c r="AP456" s="3"/>
    </row>
    <row r="457" customFormat="false" ht="15" hidden="false" customHeight="false" outlineLevel="0" collapsed="false">
      <c r="A457" s="2"/>
      <c r="K457" s="3"/>
      <c r="M457" s="3"/>
      <c r="Q457" s="3"/>
      <c r="AD457" s="3"/>
      <c r="AP457" s="3"/>
    </row>
    <row r="458" customFormat="false" ht="15" hidden="false" customHeight="false" outlineLevel="0" collapsed="false">
      <c r="A458" s="2"/>
      <c r="K458" s="3"/>
      <c r="M458" s="3"/>
      <c r="Q458" s="3"/>
      <c r="AD458" s="3"/>
      <c r="AP458" s="3"/>
    </row>
    <row r="459" customFormat="false" ht="15" hidden="false" customHeight="false" outlineLevel="0" collapsed="false">
      <c r="A459" s="2"/>
      <c r="K459" s="3"/>
      <c r="M459" s="3"/>
      <c r="Q459" s="3"/>
      <c r="AD459" s="3"/>
      <c r="AP459" s="3"/>
    </row>
    <row r="460" customFormat="false" ht="15" hidden="false" customHeight="false" outlineLevel="0" collapsed="false">
      <c r="A460" s="2"/>
      <c r="K460" s="3"/>
      <c r="M460" s="3"/>
      <c r="Q460" s="3"/>
      <c r="AD460" s="3"/>
      <c r="AP460" s="3"/>
    </row>
    <row r="461" customFormat="false" ht="15" hidden="false" customHeight="false" outlineLevel="0" collapsed="false">
      <c r="A461" s="2"/>
      <c r="K461" s="3"/>
      <c r="M461" s="3"/>
      <c r="Q461" s="3"/>
      <c r="AD461" s="3"/>
      <c r="AP461" s="3"/>
    </row>
    <row r="462" customFormat="false" ht="15" hidden="false" customHeight="false" outlineLevel="0" collapsed="false">
      <c r="A462" s="2"/>
      <c r="K462" s="3"/>
      <c r="M462" s="3"/>
      <c r="Q462" s="3"/>
      <c r="AD462" s="3"/>
      <c r="AP462" s="3"/>
    </row>
    <row r="463" customFormat="false" ht="15" hidden="false" customHeight="false" outlineLevel="0" collapsed="false">
      <c r="A463" s="2"/>
      <c r="K463" s="3"/>
      <c r="M463" s="3"/>
      <c r="Q463" s="3"/>
      <c r="AD463" s="3"/>
      <c r="AP463" s="3"/>
    </row>
    <row r="464" customFormat="false" ht="15" hidden="false" customHeight="false" outlineLevel="0" collapsed="false">
      <c r="A464" s="2"/>
      <c r="K464" s="3"/>
      <c r="M464" s="3"/>
      <c r="Q464" s="3"/>
      <c r="AD464" s="3"/>
      <c r="AP464" s="3"/>
    </row>
    <row r="465" customFormat="false" ht="15" hidden="false" customHeight="false" outlineLevel="0" collapsed="false">
      <c r="A465" s="2"/>
      <c r="K465" s="3"/>
      <c r="M465" s="3"/>
      <c r="Q465" s="3"/>
      <c r="AD465" s="3"/>
      <c r="AP465" s="3"/>
    </row>
    <row r="466" customFormat="false" ht="15" hidden="false" customHeight="false" outlineLevel="0" collapsed="false">
      <c r="A466" s="2"/>
      <c r="K466" s="3"/>
      <c r="M466" s="3"/>
      <c r="Q466" s="3"/>
      <c r="AD466" s="3"/>
      <c r="AP466" s="3"/>
    </row>
    <row r="467" customFormat="false" ht="15" hidden="false" customHeight="false" outlineLevel="0" collapsed="false">
      <c r="A467" s="2"/>
      <c r="K467" s="3"/>
      <c r="M467" s="3"/>
      <c r="Q467" s="3"/>
      <c r="AD467" s="3"/>
      <c r="AP467" s="3"/>
    </row>
    <row r="468" customFormat="false" ht="15" hidden="false" customHeight="false" outlineLevel="0" collapsed="false">
      <c r="A468" s="2"/>
      <c r="K468" s="3"/>
      <c r="M468" s="3"/>
      <c r="Q468" s="3"/>
      <c r="AD468" s="3"/>
      <c r="AP468" s="3"/>
    </row>
    <row r="469" customFormat="false" ht="15" hidden="false" customHeight="false" outlineLevel="0" collapsed="false">
      <c r="A469" s="2"/>
      <c r="K469" s="3"/>
      <c r="M469" s="3"/>
      <c r="Q469" s="3"/>
      <c r="AD469" s="3"/>
      <c r="AP469" s="3"/>
    </row>
    <row r="470" customFormat="false" ht="15" hidden="false" customHeight="false" outlineLevel="0" collapsed="false">
      <c r="A470" s="2"/>
      <c r="K470" s="3"/>
      <c r="M470" s="3"/>
      <c r="Q470" s="3"/>
      <c r="AD470" s="3"/>
      <c r="AP470" s="3"/>
    </row>
    <row r="471" customFormat="false" ht="15" hidden="false" customHeight="false" outlineLevel="0" collapsed="false">
      <c r="A471" s="2"/>
      <c r="K471" s="3"/>
      <c r="M471" s="3"/>
      <c r="Q471" s="3"/>
      <c r="AD471" s="3"/>
      <c r="AP471" s="3"/>
    </row>
    <row r="472" customFormat="false" ht="15" hidden="false" customHeight="false" outlineLevel="0" collapsed="false">
      <c r="A472" s="2"/>
      <c r="K472" s="3"/>
      <c r="M472" s="3"/>
      <c r="Q472" s="3"/>
      <c r="AD472" s="3"/>
      <c r="AP472" s="3"/>
    </row>
    <row r="473" customFormat="false" ht="15" hidden="false" customHeight="false" outlineLevel="0" collapsed="false">
      <c r="A473" s="2"/>
      <c r="K473" s="3"/>
      <c r="M473" s="3"/>
      <c r="Q473" s="3"/>
      <c r="AD473" s="3"/>
      <c r="AP473" s="3"/>
    </row>
    <row r="474" customFormat="false" ht="15" hidden="false" customHeight="false" outlineLevel="0" collapsed="false">
      <c r="A474" s="2"/>
      <c r="K474" s="3"/>
      <c r="M474" s="3"/>
      <c r="Q474" s="3"/>
      <c r="AD474" s="3"/>
      <c r="AP474" s="3"/>
    </row>
    <row r="475" customFormat="false" ht="15" hidden="false" customHeight="false" outlineLevel="0" collapsed="false">
      <c r="A475" s="2"/>
      <c r="K475" s="3"/>
      <c r="M475" s="3"/>
      <c r="Q475" s="3"/>
      <c r="AD475" s="3"/>
      <c r="AP475" s="3"/>
    </row>
    <row r="476" customFormat="false" ht="15" hidden="false" customHeight="false" outlineLevel="0" collapsed="false">
      <c r="A476" s="2"/>
      <c r="K476" s="3"/>
      <c r="M476" s="3"/>
      <c r="Q476" s="3"/>
      <c r="AD476" s="3"/>
      <c r="AP476" s="3"/>
    </row>
    <row r="477" customFormat="false" ht="15" hidden="false" customHeight="false" outlineLevel="0" collapsed="false">
      <c r="A477" s="2"/>
      <c r="K477" s="3"/>
      <c r="M477" s="3"/>
      <c r="Q477" s="3"/>
      <c r="AD477" s="3"/>
      <c r="AP477" s="3"/>
    </row>
    <row r="478" customFormat="false" ht="15" hidden="false" customHeight="false" outlineLevel="0" collapsed="false">
      <c r="A478" s="2"/>
      <c r="K478" s="3"/>
      <c r="M478" s="3"/>
      <c r="Q478" s="3"/>
      <c r="AD478" s="3"/>
      <c r="AP478" s="3"/>
    </row>
    <row r="479" customFormat="false" ht="15" hidden="false" customHeight="false" outlineLevel="0" collapsed="false">
      <c r="A479" s="2"/>
      <c r="K479" s="3"/>
      <c r="M479" s="3"/>
      <c r="Q479" s="3"/>
      <c r="AD479" s="3"/>
      <c r="AP479" s="3"/>
    </row>
    <row r="480" customFormat="false" ht="15" hidden="false" customHeight="false" outlineLevel="0" collapsed="false">
      <c r="A480" s="2"/>
      <c r="K480" s="3"/>
      <c r="M480" s="3"/>
      <c r="Q480" s="3"/>
      <c r="AD480" s="3"/>
      <c r="AP480" s="3"/>
    </row>
    <row r="481" customFormat="false" ht="15" hidden="false" customHeight="false" outlineLevel="0" collapsed="false">
      <c r="A481" s="2"/>
      <c r="K481" s="3"/>
      <c r="M481" s="3"/>
      <c r="Q481" s="3"/>
      <c r="AD481" s="3"/>
      <c r="AP481" s="3"/>
    </row>
    <row r="482" customFormat="false" ht="15" hidden="false" customHeight="false" outlineLevel="0" collapsed="false">
      <c r="A482" s="2"/>
      <c r="K482" s="3"/>
      <c r="M482" s="3"/>
      <c r="Q482" s="3"/>
      <c r="AD482" s="3"/>
      <c r="AP482" s="3"/>
    </row>
    <row r="483" customFormat="false" ht="15" hidden="false" customHeight="false" outlineLevel="0" collapsed="false">
      <c r="A483" s="2"/>
      <c r="K483" s="3"/>
      <c r="M483" s="3"/>
      <c r="Q483" s="3"/>
      <c r="AD483" s="3"/>
      <c r="AP483" s="3"/>
    </row>
    <row r="484" customFormat="false" ht="15" hidden="false" customHeight="false" outlineLevel="0" collapsed="false">
      <c r="A484" s="2"/>
      <c r="K484" s="3"/>
      <c r="M484" s="3"/>
      <c r="Q484" s="3"/>
      <c r="AD484" s="3"/>
      <c r="AP484" s="3"/>
    </row>
    <row r="485" customFormat="false" ht="15" hidden="false" customHeight="false" outlineLevel="0" collapsed="false">
      <c r="A485" s="2"/>
      <c r="K485" s="3"/>
      <c r="M485" s="3"/>
      <c r="Q485" s="3"/>
      <c r="AD485" s="3"/>
      <c r="AP485" s="3"/>
    </row>
    <row r="486" customFormat="false" ht="15" hidden="false" customHeight="false" outlineLevel="0" collapsed="false">
      <c r="A486" s="2"/>
      <c r="K486" s="3"/>
      <c r="M486" s="3"/>
      <c r="Q486" s="3"/>
      <c r="AD486" s="3"/>
      <c r="AP486" s="3"/>
    </row>
    <row r="487" customFormat="false" ht="15" hidden="false" customHeight="false" outlineLevel="0" collapsed="false">
      <c r="A487" s="2"/>
      <c r="K487" s="3"/>
      <c r="M487" s="3"/>
      <c r="Q487" s="3"/>
      <c r="AD487" s="3"/>
      <c r="AP487" s="3"/>
    </row>
    <row r="488" customFormat="false" ht="15" hidden="false" customHeight="false" outlineLevel="0" collapsed="false">
      <c r="A488" s="2"/>
      <c r="K488" s="3"/>
      <c r="M488" s="3"/>
      <c r="Q488" s="3"/>
      <c r="AD488" s="3"/>
      <c r="AP488" s="3"/>
    </row>
    <row r="489" customFormat="false" ht="15" hidden="false" customHeight="false" outlineLevel="0" collapsed="false">
      <c r="A489" s="2"/>
      <c r="K489" s="3"/>
      <c r="M489" s="3"/>
      <c r="Q489" s="3"/>
      <c r="AD489" s="3"/>
      <c r="AP489" s="3"/>
    </row>
    <row r="490" customFormat="false" ht="15" hidden="false" customHeight="false" outlineLevel="0" collapsed="false">
      <c r="A490" s="2"/>
      <c r="K490" s="3"/>
      <c r="M490" s="3"/>
      <c r="Q490" s="3"/>
      <c r="AD490" s="3"/>
      <c r="AP490" s="3"/>
    </row>
    <row r="491" customFormat="false" ht="15" hidden="false" customHeight="false" outlineLevel="0" collapsed="false">
      <c r="A491" s="2"/>
      <c r="K491" s="3"/>
      <c r="M491" s="3"/>
      <c r="Q491" s="3"/>
      <c r="AD491" s="3"/>
      <c r="AP491" s="3"/>
    </row>
    <row r="492" customFormat="false" ht="15" hidden="false" customHeight="false" outlineLevel="0" collapsed="false">
      <c r="A492" s="2"/>
      <c r="K492" s="3"/>
      <c r="M492" s="3"/>
      <c r="Q492" s="3"/>
      <c r="AD492" s="3"/>
      <c r="AP492" s="3"/>
    </row>
    <row r="493" customFormat="false" ht="15" hidden="false" customHeight="false" outlineLevel="0" collapsed="false">
      <c r="A493" s="2"/>
      <c r="K493" s="3"/>
      <c r="M493" s="3"/>
      <c r="Q493" s="3"/>
      <c r="AD493" s="3"/>
      <c r="AP493" s="3"/>
    </row>
    <row r="494" customFormat="false" ht="15" hidden="false" customHeight="false" outlineLevel="0" collapsed="false">
      <c r="A494" s="2"/>
      <c r="K494" s="3"/>
      <c r="M494" s="3"/>
      <c r="Q494" s="3"/>
      <c r="AD494" s="3"/>
      <c r="AP494" s="3"/>
    </row>
    <row r="495" customFormat="false" ht="15" hidden="false" customHeight="false" outlineLevel="0" collapsed="false">
      <c r="A495" s="2"/>
      <c r="K495" s="3"/>
      <c r="M495" s="3"/>
      <c r="Q495" s="3"/>
      <c r="AD495" s="3"/>
      <c r="AP495" s="3"/>
    </row>
    <row r="496" customFormat="false" ht="15" hidden="false" customHeight="false" outlineLevel="0" collapsed="false">
      <c r="A496" s="2"/>
      <c r="K496" s="3"/>
      <c r="M496" s="3"/>
      <c r="Q496" s="3"/>
      <c r="AD496" s="3"/>
      <c r="AP496" s="3"/>
    </row>
    <row r="497" customFormat="false" ht="15" hidden="false" customHeight="false" outlineLevel="0" collapsed="false">
      <c r="A497" s="2"/>
      <c r="K497" s="3"/>
      <c r="M497" s="3"/>
      <c r="Q497" s="3"/>
      <c r="AD497" s="3"/>
      <c r="AP497" s="3"/>
    </row>
    <row r="498" customFormat="false" ht="15" hidden="false" customHeight="false" outlineLevel="0" collapsed="false">
      <c r="A498" s="2"/>
      <c r="K498" s="3"/>
      <c r="M498" s="3"/>
      <c r="Q498" s="3"/>
      <c r="AD498" s="3"/>
      <c r="AP498" s="3"/>
    </row>
    <row r="499" customFormat="false" ht="15" hidden="false" customHeight="false" outlineLevel="0" collapsed="false">
      <c r="A499" s="2"/>
      <c r="K499" s="3"/>
      <c r="M499" s="3"/>
      <c r="Q499" s="3"/>
      <c r="AD499" s="3"/>
      <c r="AP499" s="3"/>
    </row>
    <row r="500" customFormat="false" ht="15" hidden="false" customHeight="false" outlineLevel="0" collapsed="false">
      <c r="A500" s="2"/>
      <c r="K500" s="3"/>
      <c r="M500" s="3"/>
      <c r="Q500" s="3"/>
      <c r="AD500" s="3"/>
      <c r="AP500" s="3"/>
    </row>
    <row r="501" customFormat="false" ht="15" hidden="false" customHeight="false" outlineLevel="0" collapsed="false">
      <c r="A501" s="2"/>
      <c r="K501" s="3"/>
      <c r="M501" s="3"/>
      <c r="Q501" s="3"/>
      <c r="AD501" s="3"/>
      <c r="AP501" s="3"/>
    </row>
    <row r="502" customFormat="false" ht="15" hidden="false" customHeight="false" outlineLevel="0" collapsed="false">
      <c r="A502" s="2"/>
      <c r="K502" s="3"/>
      <c r="M502" s="3"/>
      <c r="Q502" s="3"/>
      <c r="AD502" s="3"/>
      <c r="AP502" s="3"/>
    </row>
    <row r="503" customFormat="false" ht="15" hidden="false" customHeight="false" outlineLevel="0" collapsed="false">
      <c r="A503" s="2"/>
      <c r="K503" s="3"/>
      <c r="M503" s="3"/>
      <c r="Q503" s="3"/>
      <c r="AD503" s="3"/>
      <c r="AP503" s="3"/>
    </row>
    <row r="504" customFormat="false" ht="15" hidden="false" customHeight="false" outlineLevel="0" collapsed="false">
      <c r="A504" s="2"/>
      <c r="K504" s="3"/>
      <c r="M504" s="3"/>
      <c r="Q504" s="3"/>
      <c r="AD504" s="3"/>
      <c r="AP504" s="3"/>
    </row>
    <row r="505" customFormat="false" ht="15" hidden="false" customHeight="false" outlineLevel="0" collapsed="false">
      <c r="A505" s="2"/>
      <c r="K505" s="3"/>
      <c r="M505" s="3"/>
      <c r="Q505" s="3"/>
      <c r="AD505" s="3"/>
      <c r="AP505" s="3"/>
    </row>
    <row r="506" customFormat="false" ht="15" hidden="false" customHeight="false" outlineLevel="0" collapsed="false">
      <c r="A506" s="2"/>
      <c r="K506" s="3"/>
      <c r="M506" s="3"/>
      <c r="Q506" s="3"/>
      <c r="AD506" s="3"/>
      <c r="AP506" s="3"/>
    </row>
    <row r="507" customFormat="false" ht="15" hidden="false" customHeight="false" outlineLevel="0" collapsed="false">
      <c r="A507" s="2"/>
      <c r="K507" s="3"/>
      <c r="M507" s="3"/>
      <c r="Q507" s="3"/>
      <c r="AD507" s="3"/>
      <c r="AP507" s="3"/>
    </row>
    <row r="508" customFormat="false" ht="15" hidden="false" customHeight="false" outlineLevel="0" collapsed="false">
      <c r="A508" s="2"/>
      <c r="K508" s="3"/>
      <c r="M508" s="3"/>
      <c r="Q508" s="3"/>
      <c r="AD508" s="3"/>
      <c r="AP508" s="3"/>
    </row>
    <row r="509" customFormat="false" ht="15" hidden="false" customHeight="false" outlineLevel="0" collapsed="false">
      <c r="A509" s="2"/>
      <c r="K509" s="3"/>
      <c r="M509" s="3"/>
      <c r="Q509" s="3"/>
      <c r="AD509" s="3"/>
      <c r="AP509" s="3"/>
    </row>
    <row r="510" customFormat="false" ht="15" hidden="false" customHeight="false" outlineLevel="0" collapsed="false">
      <c r="A510" s="2"/>
      <c r="K510" s="3"/>
      <c r="M510" s="3"/>
      <c r="Q510" s="3"/>
      <c r="AD510" s="3"/>
      <c r="AP510" s="3"/>
    </row>
    <row r="511" customFormat="false" ht="15" hidden="false" customHeight="false" outlineLevel="0" collapsed="false">
      <c r="A511" s="2"/>
      <c r="K511" s="3"/>
      <c r="M511" s="3"/>
      <c r="Q511" s="3"/>
      <c r="AD511" s="3"/>
      <c r="AP511" s="3"/>
    </row>
    <row r="512" customFormat="false" ht="15" hidden="false" customHeight="false" outlineLevel="0" collapsed="false">
      <c r="A512" s="2"/>
      <c r="K512" s="3"/>
      <c r="M512" s="3"/>
      <c r="Q512" s="3"/>
      <c r="AD512" s="3"/>
      <c r="AP512" s="3"/>
    </row>
    <row r="513" customFormat="false" ht="15" hidden="false" customHeight="false" outlineLevel="0" collapsed="false">
      <c r="A513" s="2"/>
      <c r="K513" s="3"/>
      <c r="M513" s="3"/>
      <c r="Q513" s="3"/>
      <c r="AD513" s="3"/>
      <c r="AP513" s="3"/>
    </row>
    <row r="514" customFormat="false" ht="15" hidden="false" customHeight="false" outlineLevel="0" collapsed="false">
      <c r="A514" s="2"/>
      <c r="K514" s="3"/>
      <c r="M514" s="3"/>
      <c r="Q514" s="3"/>
      <c r="AD514" s="3"/>
      <c r="AP514" s="3"/>
    </row>
    <row r="515" customFormat="false" ht="15" hidden="false" customHeight="false" outlineLevel="0" collapsed="false">
      <c r="A515" s="2"/>
      <c r="K515" s="3"/>
      <c r="M515" s="3"/>
      <c r="Q515" s="3"/>
      <c r="AD515" s="3"/>
      <c r="AP515" s="3"/>
    </row>
    <row r="516" customFormat="false" ht="15" hidden="false" customHeight="false" outlineLevel="0" collapsed="false">
      <c r="A516" s="2"/>
      <c r="K516" s="3"/>
      <c r="M516" s="3"/>
      <c r="Q516" s="3"/>
      <c r="AD516" s="3"/>
      <c r="AP516" s="3"/>
    </row>
    <row r="517" customFormat="false" ht="15" hidden="false" customHeight="false" outlineLevel="0" collapsed="false">
      <c r="A517" s="2"/>
      <c r="K517" s="3"/>
      <c r="M517" s="3"/>
      <c r="Q517" s="3"/>
      <c r="AD517" s="3"/>
      <c r="AP517" s="3"/>
    </row>
    <row r="518" customFormat="false" ht="15" hidden="false" customHeight="false" outlineLevel="0" collapsed="false">
      <c r="A518" s="2"/>
      <c r="K518" s="3"/>
      <c r="M518" s="3"/>
      <c r="Q518" s="3"/>
      <c r="AD518" s="3"/>
      <c r="AP518" s="3"/>
    </row>
    <row r="519" customFormat="false" ht="15" hidden="false" customHeight="false" outlineLevel="0" collapsed="false">
      <c r="A519" s="2"/>
      <c r="K519" s="3"/>
      <c r="M519" s="3"/>
      <c r="Q519" s="3"/>
      <c r="AD519" s="3"/>
      <c r="AP519" s="3"/>
    </row>
    <row r="520" customFormat="false" ht="15" hidden="false" customHeight="false" outlineLevel="0" collapsed="false">
      <c r="A520" s="2"/>
      <c r="K520" s="3"/>
      <c r="M520" s="3"/>
      <c r="Q520" s="3"/>
      <c r="AD520" s="3"/>
      <c r="AP520" s="3"/>
    </row>
    <row r="521" customFormat="false" ht="15" hidden="false" customHeight="false" outlineLevel="0" collapsed="false">
      <c r="A521" s="2"/>
      <c r="K521" s="3"/>
      <c r="M521" s="3"/>
      <c r="Q521" s="3"/>
      <c r="AD521" s="3"/>
      <c r="AP521" s="3"/>
    </row>
    <row r="522" customFormat="false" ht="15" hidden="false" customHeight="false" outlineLevel="0" collapsed="false">
      <c r="A522" s="2"/>
      <c r="K522" s="3"/>
      <c r="M522" s="3"/>
      <c r="Q522" s="3"/>
      <c r="AD522" s="3"/>
      <c r="AP522" s="3"/>
    </row>
    <row r="523" customFormat="false" ht="15" hidden="false" customHeight="false" outlineLevel="0" collapsed="false">
      <c r="A523" s="2"/>
      <c r="K523" s="3"/>
      <c r="M523" s="3"/>
      <c r="Q523" s="3"/>
      <c r="AD523" s="3"/>
      <c r="AP523" s="3"/>
    </row>
    <row r="524" customFormat="false" ht="15" hidden="false" customHeight="false" outlineLevel="0" collapsed="false">
      <c r="A524" s="2"/>
      <c r="K524" s="3"/>
      <c r="M524" s="3"/>
      <c r="Q524" s="3"/>
      <c r="AD524" s="3"/>
      <c r="AP524" s="3"/>
    </row>
    <row r="525" customFormat="false" ht="15" hidden="false" customHeight="false" outlineLevel="0" collapsed="false">
      <c r="A525" s="2"/>
      <c r="K525" s="3"/>
      <c r="M525" s="3"/>
      <c r="Q525" s="3"/>
      <c r="AD525" s="3"/>
      <c r="AP525" s="3"/>
    </row>
    <row r="526" customFormat="false" ht="15" hidden="false" customHeight="false" outlineLevel="0" collapsed="false">
      <c r="A526" s="2"/>
      <c r="K526" s="3"/>
      <c r="M526" s="3"/>
      <c r="Q526" s="3"/>
      <c r="AD526" s="3"/>
      <c r="AP526" s="3"/>
    </row>
    <row r="527" customFormat="false" ht="15" hidden="false" customHeight="false" outlineLevel="0" collapsed="false">
      <c r="A527" s="2"/>
      <c r="K527" s="3"/>
      <c r="M527" s="3"/>
      <c r="Q527" s="3"/>
      <c r="AD527" s="3"/>
      <c r="AP527" s="3"/>
    </row>
    <row r="528" customFormat="false" ht="15" hidden="false" customHeight="false" outlineLevel="0" collapsed="false">
      <c r="A528" s="2"/>
      <c r="K528" s="3"/>
      <c r="M528" s="3"/>
      <c r="Q528" s="3"/>
      <c r="AD528" s="3"/>
      <c r="AP528" s="3"/>
    </row>
    <row r="529" customFormat="false" ht="15" hidden="false" customHeight="false" outlineLevel="0" collapsed="false">
      <c r="A529" s="2"/>
      <c r="K529" s="3"/>
      <c r="M529" s="3"/>
      <c r="Q529" s="3"/>
      <c r="AD529" s="3"/>
      <c r="AP529" s="3"/>
    </row>
    <row r="530" customFormat="false" ht="15" hidden="false" customHeight="false" outlineLevel="0" collapsed="false">
      <c r="A530" s="2"/>
      <c r="K530" s="3"/>
      <c r="M530" s="3"/>
      <c r="Q530" s="3"/>
      <c r="AD530" s="3"/>
      <c r="AP530" s="3"/>
    </row>
    <row r="531" customFormat="false" ht="15" hidden="false" customHeight="false" outlineLevel="0" collapsed="false">
      <c r="A531" s="2"/>
      <c r="K531" s="3"/>
      <c r="M531" s="3"/>
      <c r="Q531" s="3"/>
      <c r="AD531" s="3"/>
      <c r="AP531" s="3"/>
    </row>
    <row r="532" customFormat="false" ht="15" hidden="false" customHeight="false" outlineLevel="0" collapsed="false">
      <c r="A532" s="2"/>
      <c r="K532" s="3"/>
      <c r="M532" s="3"/>
      <c r="Q532" s="3"/>
      <c r="AD532" s="3"/>
      <c r="AP532" s="3"/>
    </row>
    <row r="533" customFormat="false" ht="15" hidden="false" customHeight="false" outlineLevel="0" collapsed="false">
      <c r="A533" s="2"/>
      <c r="K533" s="3"/>
      <c r="M533" s="3"/>
      <c r="Q533" s="3"/>
      <c r="AD533" s="3"/>
      <c r="AP533" s="3"/>
    </row>
    <row r="534" customFormat="false" ht="15" hidden="false" customHeight="false" outlineLevel="0" collapsed="false">
      <c r="A534" s="2"/>
      <c r="K534" s="3"/>
      <c r="M534" s="3"/>
      <c r="Q534" s="3"/>
      <c r="AD534" s="3"/>
      <c r="AP534" s="3"/>
    </row>
    <row r="535" customFormat="false" ht="15" hidden="false" customHeight="false" outlineLevel="0" collapsed="false">
      <c r="A535" s="2"/>
      <c r="K535" s="3"/>
      <c r="M535" s="3"/>
      <c r="Q535" s="3"/>
      <c r="AD535" s="3"/>
      <c r="AP535" s="3"/>
    </row>
    <row r="536" customFormat="false" ht="15" hidden="false" customHeight="false" outlineLevel="0" collapsed="false">
      <c r="A536" s="2"/>
      <c r="K536" s="3"/>
      <c r="M536" s="3"/>
      <c r="Q536" s="3"/>
      <c r="AD536" s="3"/>
      <c r="AP536" s="3"/>
    </row>
    <row r="537" customFormat="false" ht="15" hidden="false" customHeight="false" outlineLevel="0" collapsed="false">
      <c r="A537" s="2"/>
      <c r="K537" s="3"/>
      <c r="M537" s="3"/>
      <c r="Q537" s="3"/>
      <c r="AD537" s="3"/>
      <c r="AP537" s="3"/>
    </row>
    <row r="538" customFormat="false" ht="15" hidden="false" customHeight="false" outlineLevel="0" collapsed="false">
      <c r="A538" s="2"/>
      <c r="K538" s="3"/>
      <c r="M538" s="3"/>
      <c r="Q538" s="3"/>
      <c r="AD538" s="3"/>
      <c r="AP538" s="3"/>
    </row>
    <row r="539" customFormat="false" ht="15" hidden="false" customHeight="false" outlineLevel="0" collapsed="false">
      <c r="A539" s="2"/>
      <c r="K539" s="3"/>
      <c r="M539" s="3"/>
      <c r="Q539" s="3"/>
      <c r="AD539" s="3"/>
      <c r="AP539" s="3"/>
    </row>
    <row r="540" customFormat="false" ht="15" hidden="false" customHeight="false" outlineLevel="0" collapsed="false">
      <c r="A540" s="2"/>
      <c r="K540" s="3"/>
      <c r="M540" s="3"/>
      <c r="Q540" s="3"/>
      <c r="AD540" s="3"/>
      <c r="AP540" s="3"/>
    </row>
    <row r="541" customFormat="false" ht="15" hidden="false" customHeight="false" outlineLevel="0" collapsed="false">
      <c r="A541" s="2"/>
      <c r="K541" s="3"/>
      <c r="M541" s="3"/>
      <c r="Q541" s="3"/>
      <c r="AD541" s="3"/>
      <c r="AP541" s="3"/>
    </row>
    <row r="542" customFormat="false" ht="15" hidden="false" customHeight="false" outlineLevel="0" collapsed="false">
      <c r="A542" s="2"/>
      <c r="K542" s="3"/>
      <c r="M542" s="3"/>
      <c r="Q542" s="3"/>
      <c r="AD542" s="3"/>
      <c r="AP542" s="3"/>
    </row>
    <row r="543" customFormat="false" ht="15" hidden="false" customHeight="false" outlineLevel="0" collapsed="false">
      <c r="A543" s="2"/>
      <c r="K543" s="3"/>
      <c r="M543" s="3"/>
      <c r="Q543" s="3"/>
      <c r="AD543" s="3"/>
      <c r="AP543" s="3"/>
    </row>
    <row r="544" customFormat="false" ht="15" hidden="false" customHeight="false" outlineLevel="0" collapsed="false">
      <c r="A544" s="2"/>
      <c r="K544" s="3"/>
      <c r="M544" s="3"/>
      <c r="Q544" s="3"/>
      <c r="AD544" s="3"/>
      <c r="AP544" s="3"/>
    </row>
    <row r="545" customFormat="false" ht="15" hidden="false" customHeight="false" outlineLevel="0" collapsed="false">
      <c r="A545" s="2"/>
      <c r="K545" s="3"/>
      <c r="M545" s="3"/>
      <c r="Q545" s="3"/>
      <c r="AD545" s="3"/>
      <c r="AP545" s="3"/>
    </row>
    <row r="546" customFormat="false" ht="15" hidden="false" customHeight="false" outlineLevel="0" collapsed="false">
      <c r="A546" s="2"/>
      <c r="K546" s="3"/>
      <c r="M546" s="3"/>
      <c r="Q546" s="3"/>
      <c r="AD546" s="3"/>
      <c r="AP546" s="3"/>
    </row>
    <row r="547" customFormat="false" ht="15" hidden="false" customHeight="false" outlineLevel="0" collapsed="false">
      <c r="A547" s="2"/>
      <c r="K547" s="3"/>
      <c r="M547" s="3"/>
      <c r="Q547" s="3"/>
      <c r="AD547" s="3"/>
      <c r="AP547" s="3"/>
    </row>
    <row r="548" customFormat="false" ht="15" hidden="false" customHeight="false" outlineLevel="0" collapsed="false">
      <c r="A548" s="2"/>
      <c r="K548" s="3"/>
      <c r="M548" s="3"/>
      <c r="Q548" s="3"/>
      <c r="AD548" s="3"/>
      <c r="AP548" s="3"/>
    </row>
    <row r="549" customFormat="false" ht="15" hidden="false" customHeight="false" outlineLevel="0" collapsed="false">
      <c r="A549" s="2"/>
      <c r="K549" s="3"/>
      <c r="M549" s="3"/>
      <c r="Q549" s="3"/>
      <c r="AD549" s="3"/>
      <c r="AP549" s="3"/>
    </row>
    <row r="550" customFormat="false" ht="15" hidden="false" customHeight="false" outlineLevel="0" collapsed="false">
      <c r="A550" s="2"/>
      <c r="K550" s="3"/>
      <c r="M550" s="3"/>
      <c r="Q550" s="3"/>
      <c r="AD550" s="3"/>
      <c r="AP550" s="3"/>
    </row>
    <row r="551" customFormat="false" ht="15" hidden="false" customHeight="false" outlineLevel="0" collapsed="false">
      <c r="A551" s="2"/>
      <c r="K551" s="3"/>
      <c r="M551" s="3"/>
      <c r="Q551" s="3"/>
      <c r="AD551" s="3"/>
      <c r="AP551" s="3"/>
    </row>
    <row r="552" customFormat="false" ht="15" hidden="false" customHeight="false" outlineLevel="0" collapsed="false">
      <c r="A552" s="2"/>
      <c r="K552" s="3"/>
      <c r="M552" s="3"/>
      <c r="Q552" s="3"/>
      <c r="AD552" s="3"/>
      <c r="AP552" s="3"/>
    </row>
    <row r="553" customFormat="false" ht="15" hidden="false" customHeight="false" outlineLevel="0" collapsed="false">
      <c r="A553" s="2"/>
      <c r="K553" s="3"/>
      <c r="M553" s="3"/>
      <c r="Q553" s="3"/>
      <c r="AD553" s="3"/>
      <c r="AP553" s="3"/>
    </row>
    <row r="554" customFormat="false" ht="15" hidden="false" customHeight="false" outlineLevel="0" collapsed="false">
      <c r="A554" s="2"/>
      <c r="K554" s="3"/>
      <c r="M554" s="3"/>
      <c r="Q554" s="3"/>
      <c r="AD554" s="3"/>
      <c r="AP554" s="3"/>
    </row>
    <row r="555" customFormat="false" ht="15" hidden="false" customHeight="false" outlineLevel="0" collapsed="false">
      <c r="A555" s="2"/>
      <c r="K555" s="3"/>
      <c r="M555" s="3"/>
      <c r="Q555" s="3"/>
      <c r="AD555" s="3"/>
      <c r="AP555" s="3"/>
    </row>
    <row r="556" customFormat="false" ht="15" hidden="false" customHeight="false" outlineLevel="0" collapsed="false">
      <c r="A556" s="2"/>
      <c r="K556" s="3"/>
      <c r="M556" s="3"/>
      <c r="Q556" s="3"/>
      <c r="AD556" s="3"/>
      <c r="AP556" s="3"/>
    </row>
    <row r="557" customFormat="false" ht="15" hidden="false" customHeight="false" outlineLevel="0" collapsed="false">
      <c r="A557" s="2"/>
      <c r="K557" s="3"/>
      <c r="M557" s="3"/>
      <c r="Q557" s="3"/>
      <c r="AD557" s="3"/>
      <c r="AP557" s="3"/>
    </row>
    <row r="558" customFormat="false" ht="15" hidden="false" customHeight="false" outlineLevel="0" collapsed="false">
      <c r="A558" s="2"/>
      <c r="K558" s="3"/>
      <c r="M558" s="3"/>
      <c r="Q558" s="3"/>
      <c r="AD558" s="3"/>
      <c r="AP558" s="3"/>
    </row>
    <row r="559" customFormat="false" ht="15" hidden="false" customHeight="false" outlineLevel="0" collapsed="false">
      <c r="A559" s="2"/>
      <c r="K559" s="3"/>
      <c r="M559" s="3"/>
      <c r="Q559" s="3"/>
      <c r="AD559" s="3"/>
      <c r="AP559" s="3"/>
    </row>
    <row r="560" customFormat="false" ht="15" hidden="false" customHeight="false" outlineLevel="0" collapsed="false">
      <c r="A560" s="2"/>
      <c r="K560" s="3"/>
      <c r="M560" s="3"/>
      <c r="Q560" s="3"/>
      <c r="AD560" s="3"/>
      <c r="AP560" s="3"/>
    </row>
    <row r="561" customFormat="false" ht="15" hidden="false" customHeight="false" outlineLevel="0" collapsed="false">
      <c r="A561" s="2"/>
      <c r="K561" s="3"/>
      <c r="M561" s="3"/>
      <c r="Q561" s="3"/>
      <c r="AD561" s="3"/>
      <c r="AP561" s="3"/>
    </row>
    <row r="562" customFormat="false" ht="15" hidden="false" customHeight="false" outlineLevel="0" collapsed="false">
      <c r="A562" s="2"/>
      <c r="K562" s="3"/>
      <c r="M562" s="3"/>
      <c r="Q562" s="3"/>
      <c r="AD562" s="3"/>
      <c r="AP562" s="3"/>
    </row>
    <row r="563" customFormat="false" ht="15" hidden="false" customHeight="false" outlineLevel="0" collapsed="false">
      <c r="A563" s="2"/>
      <c r="K563" s="3"/>
      <c r="M563" s="3"/>
      <c r="Q563" s="3"/>
      <c r="AD563" s="3"/>
      <c r="AP563" s="3"/>
    </row>
    <row r="564" customFormat="false" ht="15" hidden="false" customHeight="false" outlineLevel="0" collapsed="false">
      <c r="A564" s="2"/>
      <c r="K564" s="3"/>
      <c r="M564" s="3"/>
      <c r="Q564" s="3"/>
      <c r="AD564" s="3"/>
      <c r="AP564" s="3"/>
    </row>
    <row r="565" customFormat="false" ht="15" hidden="false" customHeight="false" outlineLevel="0" collapsed="false">
      <c r="A565" s="2"/>
      <c r="K565" s="3"/>
      <c r="M565" s="3"/>
      <c r="Q565" s="3"/>
      <c r="AD565" s="3"/>
      <c r="AP565" s="3"/>
    </row>
    <row r="566" customFormat="false" ht="15" hidden="false" customHeight="false" outlineLevel="0" collapsed="false">
      <c r="A566" s="2"/>
      <c r="K566" s="3"/>
      <c r="M566" s="3"/>
      <c r="Q566" s="3"/>
      <c r="AD566" s="3"/>
      <c r="AP566" s="3"/>
    </row>
    <row r="567" customFormat="false" ht="15" hidden="false" customHeight="false" outlineLevel="0" collapsed="false">
      <c r="A567" s="2"/>
      <c r="K567" s="3"/>
      <c r="M567" s="3"/>
      <c r="Q567" s="3"/>
      <c r="AD567" s="3"/>
      <c r="AP567" s="3"/>
    </row>
    <row r="568" customFormat="false" ht="15" hidden="false" customHeight="false" outlineLevel="0" collapsed="false">
      <c r="A568" s="2"/>
      <c r="K568" s="3"/>
      <c r="M568" s="3"/>
      <c r="Q568" s="3"/>
      <c r="AD568" s="3"/>
      <c r="AP568" s="3"/>
    </row>
    <row r="569" customFormat="false" ht="15" hidden="false" customHeight="false" outlineLevel="0" collapsed="false">
      <c r="A569" s="2"/>
      <c r="K569" s="3"/>
      <c r="M569" s="3"/>
      <c r="Q569" s="3"/>
      <c r="AD569" s="3"/>
      <c r="AP569" s="3"/>
    </row>
    <row r="570" customFormat="false" ht="15" hidden="false" customHeight="false" outlineLevel="0" collapsed="false">
      <c r="A570" s="2"/>
      <c r="K570" s="3"/>
      <c r="M570" s="3"/>
      <c r="Q570" s="3"/>
      <c r="AD570" s="3"/>
      <c r="AP570" s="3"/>
    </row>
    <row r="571" customFormat="false" ht="15" hidden="false" customHeight="false" outlineLevel="0" collapsed="false">
      <c r="A571" s="2"/>
      <c r="K571" s="3"/>
      <c r="M571" s="3"/>
      <c r="Q571" s="3"/>
      <c r="AD571" s="3"/>
      <c r="AP571" s="3"/>
    </row>
    <row r="572" customFormat="false" ht="15" hidden="false" customHeight="false" outlineLevel="0" collapsed="false">
      <c r="A572" s="2"/>
      <c r="K572" s="3"/>
      <c r="M572" s="3"/>
      <c r="Q572" s="3"/>
      <c r="AD572" s="3"/>
      <c r="AP572" s="3"/>
    </row>
    <row r="573" customFormat="false" ht="15" hidden="false" customHeight="false" outlineLevel="0" collapsed="false">
      <c r="A573" s="2"/>
      <c r="K573" s="3"/>
      <c r="M573" s="3"/>
      <c r="Q573" s="3"/>
      <c r="AD573" s="3"/>
      <c r="AP573" s="3"/>
    </row>
    <row r="574" customFormat="false" ht="15" hidden="false" customHeight="false" outlineLevel="0" collapsed="false">
      <c r="A574" s="2"/>
      <c r="K574" s="3"/>
      <c r="M574" s="3"/>
      <c r="Q574" s="3"/>
      <c r="AD574" s="3"/>
      <c r="AP574" s="3"/>
    </row>
    <row r="575" customFormat="false" ht="15" hidden="false" customHeight="false" outlineLevel="0" collapsed="false">
      <c r="A575" s="2"/>
      <c r="K575" s="3"/>
      <c r="M575" s="3"/>
      <c r="Q575" s="3"/>
      <c r="AD575" s="3"/>
      <c r="AP575" s="3"/>
    </row>
    <row r="576" customFormat="false" ht="15" hidden="false" customHeight="false" outlineLevel="0" collapsed="false">
      <c r="A576" s="2"/>
      <c r="K576" s="3"/>
      <c r="M576" s="3"/>
      <c r="Q576" s="3"/>
      <c r="AD576" s="3"/>
      <c r="AP576" s="3"/>
    </row>
    <row r="577" customFormat="false" ht="15" hidden="false" customHeight="false" outlineLevel="0" collapsed="false">
      <c r="A577" s="2"/>
      <c r="K577" s="3"/>
      <c r="M577" s="3"/>
      <c r="Q577" s="3"/>
      <c r="AD577" s="3"/>
      <c r="AP577" s="3"/>
    </row>
    <row r="578" customFormat="false" ht="15" hidden="false" customHeight="false" outlineLevel="0" collapsed="false">
      <c r="A578" s="2"/>
      <c r="K578" s="3"/>
      <c r="M578" s="3"/>
      <c r="Q578" s="3"/>
      <c r="AD578" s="3"/>
      <c r="AP578" s="3"/>
    </row>
    <row r="579" customFormat="false" ht="15" hidden="false" customHeight="false" outlineLevel="0" collapsed="false">
      <c r="A579" s="2"/>
      <c r="K579" s="3"/>
      <c r="M579" s="3"/>
      <c r="Q579" s="3"/>
      <c r="AD579" s="3"/>
      <c r="AP579" s="3"/>
    </row>
    <row r="580" customFormat="false" ht="15" hidden="false" customHeight="false" outlineLevel="0" collapsed="false">
      <c r="A580" s="2"/>
      <c r="K580" s="3"/>
      <c r="M580" s="3"/>
      <c r="Q580" s="3"/>
      <c r="AD580" s="3"/>
      <c r="AP580" s="3"/>
    </row>
    <row r="581" customFormat="false" ht="15" hidden="false" customHeight="false" outlineLevel="0" collapsed="false">
      <c r="A581" s="2"/>
      <c r="K581" s="3"/>
      <c r="M581" s="3"/>
      <c r="Q581" s="3"/>
      <c r="AD581" s="3"/>
      <c r="AP581" s="3"/>
    </row>
    <row r="582" customFormat="false" ht="15" hidden="false" customHeight="false" outlineLevel="0" collapsed="false">
      <c r="A582" s="2"/>
      <c r="K582" s="3"/>
      <c r="M582" s="3"/>
      <c r="Q582" s="3"/>
      <c r="AD582" s="3"/>
      <c r="AP582" s="3"/>
    </row>
    <row r="583" customFormat="false" ht="15" hidden="false" customHeight="false" outlineLevel="0" collapsed="false">
      <c r="A583" s="2"/>
      <c r="K583" s="3"/>
      <c r="M583" s="3"/>
      <c r="Q583" s="3"/>
      <c r="AD583" s="3"/>
      <c r="AP583" s="3"/>
    </row>
    <row r="584" customFormat="false" ht="15" hidden="false" customHeight="false" outlineLevel="0" collapsed="false">
      <c r="A584" s="2"/>
      <c r="K584" s="3"/>
      <c r="M584" s="3"/>
      <c r="Q584" s="3"/>
      <c r="AD584" s="3"/>
      <c r="AP584" s="3"/>
    </row>
    <row r="585" customFormat="false" ht="15" hidden="false" customHeight="false" outlineLevel="0" collapsed="false">
      <c r="A585" s="2"/>
      <c r="K585" s="3"/>
      <c r="M585" s="3"/>
      <c r="Q585" s="3"/>
      <c r="AD585" s="3"/>
      <c r="AP585" s="3"/>
    </row>
    <row r="586" customFormat="false" ht="15" hidden="false" customHeight="false" outlineLevel="0" collapsed="false">
      <c r="A586" s="2"/>
      <c r="K586" s="3"/>
      <c r="M586" s="3"/>
      <c r="Q586" s="3"/>
      <c r="AD586" s="3"/>
      <c r="AP586" s="3"/>
    </row>
    <row r="587" customFormat="false" ht="15" hidden="false" customHeight="false" outlineLevel="0" collapsed="false">
      <c r="A587" s="2"/>
      <c r="K587" s="3"/>
      <c r="M587" s="3"/>
      <c r="Q587" s="3"/>
      <c r="AD587" s="3"/>
      <c r="AP587" s="3"/>
    </row>
    <row r="588" customFormat="false" ht="15" hidden="false" customHeight="false" outlineLevel="0" collapsed="false">
      <c r="A588" s="2"/>
      <c r="K588" s="3"/>
      <c r="M588" s="3"/>
      <c r="Q588" s="3"/>
      <c r="AD588" s="3"/>
      <c r="AP588" s="3"/>
    </row>
    <row r="589" customFormat="false" ht="15" hidden="false" customHeight="false" outlineLevel="0" collapsed="false">
      <c r="A589" s="2"/>
      <c r="K589" s="3"/>
      <c r="M589" s="3"/>
      <c r="Q589" s="3"/>
      <c r="AD589" s="3"/>
      <c r="AP589" s="3"/>
    </row>
    <row r="590" customFormat="false" ht="15" hidden="false" customHeight="false" outlineLevel="0" collapsed="false">
      <c r="A590" s="2"/>
      <c r="K590" s="3"/>
      <c r="M590" s="3"/>
      <c r="Q590" s="3"/>
      <c r="AD590" s="3"/>
      <c r="AP590" s="3"/>
    </row>
    <row r="591" customFormat="false" ht="15" hidden="false" customHeight="false" outlineLevel="0" collapsed="false">
      <c r="A591" s="2"/>
      <c r="K591" s="3"/>
      <c r="M591" s="3"/>
      <c r="Q591" s="3"/>
      <c r="AD591" s="3"/>
      <c r="AP591" s="3"/>
    </row>
    <row r="592" customFormat="false" ht="15" hidden="false" customHeight="false" outlineLevel="0" collapsed="false">
      <c r="A592" s="2"/>
      <c r="K592" s="3"/>
      <c r="M592" s="3"/>
      <c r="Q592" s="3"/>
      <c r="AD592" s="3"/>
      <c r="AP592" s="3"/>
    </row>
    <row r="593" customFormat="false" ht="15" hidden="false" customHeight="false" outlineLevel="0" collapsed="false">
      <c r="A593" s="2"/>
      <c r="K593" s="3"/>
      <c r="M593" s="3"/>
      <c r="Q593" s="3"/>
      <c r="AD593" s="3"/>
      <c r="AP593" s="3"/>
    </row>
    <row r="594" customFormat="false" ht="15" hidden="false" customHeight="false" outlineLevel="0" collapsed="false">
      <c r="A594" s="2"/>
      <c r="K594" s="3"/>
      <c r="M594" s="3"/>
      <c r="Q594" s="3"/>
      <c r="AD594" s="3"/>
      <c r="AP594" s="3"/>
    </row>
    <row r="595" customFormat="false" ht="15" hidden="false" customHeight="false" outlineLevel="0" collapsed="false">
      <c r="A595" s="2"/>
      <c r="K595" s="3"/>
      <c r="M595" s="3"/>
      <c r="Q595" s="3"/>
      <c r="AD595" s="3"/>
      <c r="AP595" s="3"/>
    </row>
    <row r="596" customFormat="false" ht="15" hidden="false" customHeight="false" outlineLevel="0" collapsed="false">
      <c r="A596" s="2"/>
      <c r="K596" s="3"/>
      <c r="M596" s="3"/>
      <c r="Q596" s="3"/>
      <c r="AD596" s="3"/>
      <c r="AP596" s="3"/>
    </row>
    <row r="597" customFormat="false" ht="15" hidden="false" customHeight="false" outlineLevel="0" collapsed="false">
      <c r="A597" s="2"/>
      <c r="K597" s="3"/>
      <c r="M597" s="3"/>
      <c r="Q597" s="3"/>
      <c r="AD597" s="3"/>
      <c r="AP597" s="3"/>
    </row>
    <row r="598" customFormat="false" ht="15" hidden="false" customHeight="false" outlineLevel="0" collapsed="false">
      <c r="A598" s="2"/>
      <c r="K598" s="3"/>
      <c r="M598" s="3"/>
      <c r="Q598" s="3"/>
      <c r="AD598" s="3"/>
      <c r="AP598" s="3"/>
    </row>
    <row r="599" customFormat="false" ht="15" hidden="false" customHeight="false" outlineLevel="0" collapsed="false">
      <c r="A599" s="2"/>
      <c r="K599" s="3"/>
      <c r="M599" s="3"/>
      <c r="Q599" s="3"/>
      <c r="AD599" s="3"/>
      <c r="AP599" s="3"/>
    </row>
    <row r="600" customFormat="false" ht="15" hidden="false" customHeight="false" outlineLevel="0" collapsed="false">
      <c r="A600" s="2"/>
      <c r="K600" s="3"/>
      <c r="M600" s="3"/>
      <c r="Q600" s="3"/>
      <c r="AD600" s="3"/>
      <c r="AP600" s="3"/>
    </row>
    <row r="601" customFormat="false" ht="15" hidden="false" customHeight="false" outlineLevel="0" collapsed="false">
      <c r="A601" s="2"/>
      <c r="K601" s="3"/>
      <c r="M601" s="3"/>
      <c r="Q601" s="3"/>
      <c r="AD601" s="3"/>
      <c r="AP601" s="3"/>
    </row>
    <row r="602" customFormat="false" ht="15" hidden="false" customHeight="false" outlineLevel="0" collapsed="false">
      <c r="A602" s="2"/>
      <c r="K602" s="3"/>
      <c r="M602" s="3"/>
      <c r="Q602" s="3"/>
      <c r="AD602" s="3"/>
      <c r="AP602" s="3"/>
    </row>
    <row r="603" customFormat="false" ht="15" hidden="false" customHeight="false" outlineLevel="0" collapsed="false">
      <c r="A603" s="2"/>
      <c r="K603" s="3"/>
      <c r="M603" s="3"/>
      <c r="Q603" s="3"/>
      <c r="AD603" s="3"/>
      <c r="AP603" s="3"/>
    </row>
    <row r="604" customFormat="false" ht="15" hidden="false" customHeight="false" outlineLevel="0" collapsed="false">
      <c r="A604" s="2"/>
      <c r="K604" s="3"/>
      <c r="M604" s="3"/>
      <c r="Q604" s="3"/>
      <c r="AD604" s="3"/>
      <c r="AP604" s="3"/>
    </row>
    <row r="605" customFormat="false" ht="15" hidden="false" customHeight="false" outlineLevel="0" collapsed="false">
      <c r="A605" s="2"/>
      <c r="K605" s="3"/>
      <c r="M605" s="3"/>
      <c r="Q605" s="3"/>
      <c r="AD605" s="3"/>
      <c r="AP605" s="3"/>
    </row>
    <row r="606" customFormat="false" ht="15" hidden="false" customHeight="false" outlineLevel="0" collapsed="false">
      <c r="A606" s="2"/>
      <c r="K606" s="3"/>
      <c r="M606" s="3"/>
      <c r="Q606" s="3"/>
      <c r="AD606" s="3"/>
      <c r="AP606" s="3"/>
    </row>
    <row r="607" customFormat="false" ht="15" hidden="false" customHeight="false" outlineLevel="0" collapsed="false">
      <c r="A607" s="2"/>
      <c r="K607" s="3"/>
      <c r="M607" s="3"/>
      <c r="Q607" s="3"/>
      <c r="AD607" s="3"/>
      <c r="AP607" s="3"/>
    </row>
    <row r="608" customFormat="false" ht="15" hidden="false" customHeight="false" outlineLevel="0" collapsed="false">
      <c r="A608" s="2"/>
      <c r="K608" s="3"/>
      <c r="M608" s="3"/>
      <c r="Q608" s="3"/>
      <c r="AD608" s="3"/>
      <c r="AP608" s="3"/>
    </row>
    <row r="609" customFormat="false" ht="15" hidden="false" customHeight="false" outlineLevel="0" collapsed="false">
      <c r="A609" s="2"/>
      <c r="K609" s="3"/>
      <c r="M609" s="3"/>
      <c r="Q609" s="3"/>
      <c r="AD609" s="3"/>
      <c r="AP609" s="3"/>
    </row>
    <row r="610" customFormat="false" ht="15" hidden="false" customHeight="false" outlineLevel="0" collapsed="false">
      <c r="A610" s="2"/>
      <c r="K610" s="3"/>
      <c r="M610" s="3"/>
      <c r="Q610" s="3"/>
      <c r="AD610" s="3"/>
      <c r="AP610" s="3"/>
    </row>
    <row r="611" customFormat="false" ht="15" hidden="false" customHeight="false" outlineLevel="0" collapsed="false">
      <c r="A611" s="2"/>
      <c r="K611" s="3"/>
      <c r="M611" s="3"/>
      <c r="Q611" s="3"/>
      <c r="AD611" s="3"/>
      <c r="AP611" s="3"/>
    </row>
    <row r="612" customFormat="false" ht="15" hidden="false" customHeight="false" outlineLevel="0" collapsed="false">
      <c r="A612" s="2"/>
      <c r="K612" s="3"/>
      <c r="M612" s="3"/>
      <c r="Q612" s="3"/>
      <c r="AD612" s="3"/>
      <c r="AP612" s="3"/>
    </row>
    <row r="613" customFormat="false" ht="15" hidden="false" customHeight="false" outlineLevel="0" collapsed="false">
      <c r="A613" s="2"/>
      <c r="K613" s="3"/>
      <c r="M613" s="3"/>
      <c r="Q613" s="3"/>
      <c r="AD613" s="3"/>
      <c r="AP613" s="3"/>
    </row>
    <row r="614" customFormat="false" ht="15" hidden="false" customHeight="false" outlineLevel="0" collapsed="false">
      <c r="A614" s="2"/>
      <c r="K614" s="3"/>
      <c r="M614" s="3"/>
      <c r="Q614" s="3"/>
      <c r="AD614" s="3"/>
      <c r="AP614" s="3"/>
    </row>
    <row r="615" customFormat="false" ht="15" hidden="false" customHeight="false" outlineLevel="0" collapsed="false">
      <c r="A615" s="2"/>
      <c r="K615" s="3"/>
      <c r="M615" s="3"/>
      <c r="Q615" s="3"/>
      <c r="AD615" s="3"/>
      <c r="AP615" s="3"/>
    </row>
    <row r="616" customFormat="false" ht="15" hidden="false" customHeight="false" outlineLevel="0" collapsed="false">
      <c r="A616" s="2"/>
      <c r="K616" s="3"/>
      <c r="M616" s="3"/>
      <c r="Q616" s="3"/>
      <c r="AD616" s="3"/>
      <c r="AP616" s="3"/>
    </row>
    <row r="617" customFormat="false" ht="15" hidden="false" customHeight="false" outlineLevel="0" collapsed="false">
      <c r="A617" s="2"/>
      <c r="K617" s="3"/>
      <c r="M617" s="3"/>
      <c r="Q617" s="3"/>
      <c r="AD617" s="3"/>
      <c r="AP617" s="3"/>
    </row>
    <row r="618" customFormat="false" ht="15" hidden="false" customHeight="false" outlineLevel="0" collapsed="false">
      <c r="A618" s="2"/>
      <c r="K618" s="3"/>
      <c r="M618" s="3"/>
      <c r="Q618" s="3"/>
      <c r="AD618" s="3"/>
      <c r="AP618" s="3"/>
    </row>
    <row r="619" customFormat="false" ht="15" hidden="false" customHeight="false" outlineLevel="0" collapsed="false">
      <c r="A619" s="2"/>
      <c r="K619" s="3"/>
      <c r="M619" s="3"/>
      <c r="Q619" s="3"/>
      <c r="AD619" s="3"/>
      <c r="AP619" s="3"/>
    </row>
    <row r="620" customFormat="false" ht="15" hidden="false" customHeight="false" outlineLevel="0" collapsed="false">
      <c r="A620" s="2"/>
      <c r="K620" s="3"/>
      <c r="M620" s="3"/>
      <c r="Q620" s="3"/>
      <c r="AD620" s="3"/>
      <c r="AP620" s="3"/>
    </row>
    <row r="621" customFormat="false" ht="15" hidden="false" customHeight="false" outlineLevel="0" collapsed="false">
      <c r="A621" s="2"/>
      <c r="K621" s="3"/>
      <c r="M621" s="3"/>
      <c r="Q621" s="3"/>
      <c r="AD621" s="3"/>
      <c r="AP621" s="3"/>
    </row>
    <row r="622" customFormat="false" ht="15" hidden="false" customHeight="false" outlineLevel="0" collapsed="false">
      <c r="A622" s="2"/>
      <c r="K622" s="3"/>
      <c r="M622" s="3"/>
      <c r="Q622" s="3"/>
      <c r="AD622" s="3"/>
      <c r="AP622" s="3"/>
    </row>
    <row r="623" customFormat="false" ht="15" hidden="false" customHeight="false" outlineLevel="0" collapsed="false">
      <c r="A623" s="2"/>
      <c r="K623" s="3"/>
      <c r="M623" s="3"/>
      <c r="Q623" s="3"/>
      <c r="AD623" s="3"/>
      <c r="AP623" s="3"/>
    </row>
    <row r="624" customFormat="false" ht="15" hidden="false" customHeight="false" outlineLevel="0" collapsed="false">
      <c r="A624" s="2"/>
      <c r="K624" s="3"/>
      <c r="M624" s="3"/>
      <c r="Q624" s="3"/>
      <c r="AD624" s="3"/>
      <c r="AP624" s="3"/>
    </row>
    <row r="625" customFormat="false" ht="15" hidden="false" customHeight="false" outlineLevel="0" collapsed="false">
      <c r="A625" s="2"/>
      <c r="K625" s="3"/>
      <c r="M625" s="3"/>
      <c r="Q625" s="3"/>
      <c r="AD625" s="3"/>
      <c r="AP625" s="3"/>
    </row>
    <row r="626" customFormat="false" ht="15" hidden="false" customHeight="false" outlineLevel="0" collapsed="false">
      <c r="A626" s="2"/>
      <c r="K626" s="3"/>
      <c r="M626" s="3"/>
      <c r="Q626" s="3"/>
      <c r="AD626" s="3"/>
      <c r="AP626" s="3"/>
    </row>
    <row r="627" customFormat="false" ht="15" hidden="false" customHeight="false" outlineLevel="0" collapsed="false">
      <c r="A627" s="2"/>
      <c r="K627" s="3"/>
      <c r="M627" s="3"/>
      <c r="Q627" s="3"/>
      <c r="AD627" s="3"/>
      <c r="AP627" s="3"/>
    </row>
    <row r="628" customFormat="false" ht="15" hidden="false" customHeight="false" outlineLevel="0" collapsed="false">
      <c r="A628" s="2"/>
      <c r="K628" s="3"/>
      <c r="M628" s="3"/>
      <c r="Q628" s="3"/>
      <c r="AD628" s="3"/>
      <c r="AP628" s="3"/>
    </row>
    <row r="629" customFormat="false" ht="15" hidden="false" customHeight="false" outlineLevel="0" collapsed="false">
      <c r="A629" s="2"/>
      <c r="K629" s="3"/>
      <c r="M629" s="3"/>
      <c r="Q629" s="3"/>
      <c r="AD629" s="3"/>
      <c r="AP629" s="3"/>
    </row>
    <row r="630" customFormat="false" ht="15" hidden="false" customHeight="false" outlineLevel="0" collapsed="false">
      <c r="A630" s="2"/>
      <c r="K630" s="3"/>
      <c r="M630" s="3"/>
      <c r="Q630" s="3"/>
      <c r="AD630" s="3"/>
      <c r="AP630" s="3"/>
    </row>
    <row r="631" customFormat="false" ht="15" hidden="false" customHeight="false" outlineLevel="0" collapsed="false">
      <c r="A631" s="2"/>
      <c r="K631" s="3"/>
      <c r="M631" s="3"/>
      <c r="Q631" s="3"/>
      <c r="AD631" s="3"/>
      <c r="AP631" s="3"/>
    </row>
    <row r="632" customFormat="false" ht="15" hidden="false" customHeight="false" outlineLevel="0" collapsed="false">
      <c r="A632" s="2"/>
      <c r="K632" s="3"/>
      <c r="M632" s="3"/>
      <c r="Q632" s="3"/>
      <c r="AD632" s="3"/>
      <c r="AP632" s="3"/>
    </row>
    <row r="633" customFormat="false" ht="15" hidden="false" customHeight="false" outlineLevel="0" collapsed="false">
      <c r="A633" s="2"/>
      <c r="K633" s="3"/>
      <c r="M633" s="3"/>
      <c r="Q633" s="3"/>
      <c r="AD633" s="3"/>
      <c r="AP633" s="3"/>
    </row>
    <row r="634" customFormat="false" ht="15" hidden="false" customHeight="false" outlineLevel="0" collapsed="false">
      <c r="A634" s="2"/>
      <c r="K634" s="3"/>
      <c r="M634" s="3"/>
      <c r="Q634" s="3"/>
      <c r="AD634" s="3"/>
      <c r="AP634" s="3"/>
    </row>
    <row r="635" customFormat="false" ht="15" hidden="false" customHeight="false" outlineLevel="0" collapsed="false">
      <c r="A635" s="2"/>
      <c r="K635" s="3"/>
      <c r="M635" s="3"/>
      <c r="Q635" s="3"/>
      <c r="AD635" s="3"/>
      <c r="AP635" s="3"/>
    </row>
    <row r="636" customFormat="false" ht="15" hidden="false" customHeight="false" outlineLevel="0" collapsed="false">
      <c r="A636" s="2"/>
      <c r="K636" s="3"/>
      <c r="M636" s="3"/>
      <c r="Q636" s="3"/>
      <c r="AD636" s="3"/>
      <c r="AP636" s="3"/>
    </row>
    <row r="637" customFormat="false" ht="15" hidden="false" customHeight="false" outlineLevel="0" collapsed="false">
      <c r="A637" s="2"/>
      <c r="K637" s="3"/>
      <c r="M637" s="3"/>
      <c r="Q637" s="3"/>
      <c r="AD637" s="3"/>
      <c r="AP637" s="3"/>
    </row>
    <row r="638" customFormat="false" ht="15" hidden="false" customHeight="false" outlineLevel="0" collapsed="false">
      <c r="A638" s="2"/>
      <c r="K638" s="3"/>
      <c r="M638" s="3"/>
      <c r="Q638" s="3"/>
      <c r="AD638" s="3"/>
      <c r="AP638" s="3"/>
    </row>
    <row r="639" customFormat="false" ht="15" hidden="false" customHeight="false" outlineLevel="0" collapsed="false">
      <c r="A639" s="2"/>
      <c r="K639" s="3"/>
      <c r="M639" s="3"/>
      <c r="Q639" s="3"/>
      <c r="AD639" s="3"/>
      <c r="AP639" s="3"/>
    </row>
    <row r="640" customFormat="false" ht="15" hidden="false" customHeight="false" outlineLevel="0" collapsed="false">
      <c r="A640" s="2"/>
      <c r="K640" s="3"/>
      <c r="M640" s="3"/>
      <c r="Q640" s="3"/>
      <c r="AD640" s="3"/>
      <c r="AP640" s="3"/>
    </row>
    <row r="641" customFormat="false" ht="15" hidden="false" customHeight="false" outlineLevel="0" collapsed="false">
      <c r="A641" s="2"/>
      <c r="K641" s="3"/>
      <c r="M641" s="3"/>
      <c r="Q641" s="3"/>
      <c r="AD641" s="3"/>
      <c r="AP641" s="3"/>
    </row>
    <row r="642" customFormat="false" ht="15" hidden="false" customHeight="false" outlineLevel="0" collapsed="false">
      <c r="A642" s="2"/>
      <c r="K642" s="3"/>
      <c r="M642" s="3"/>
      <c r="Q642" s="3"/>
      <c r="AD642" s="3"/>
      <c r="AP642" s="3"/>
    </row>
    <row r="643" customFormat="false" ht="15" hidden="false" customHeight="false" outlineLevel="0" collapsed="false">
      <c r="A643" s="2"/>
      <c r="K643" s="3"/>
      <c r="M643" s="3"/>
      <c r="Q643" s="3"/>
      <c r="AD643" s="3"/>
      <c r="AP643" s="3"/>
    </row>
    <row r="644" customFormat="false" ht="15" hidden="false" customHeight="false" outlineLevel="0" collapsed="false">
      <c r="A644" s="2"/>
      <c r="K644" s="3"/>
      <c r="M644" s="3"/>
      <c r="Q644" s="3"/>
      <c r="AD644" s="3"/>
      <c r="AP644" s="3"/>
    </row>
    <row r="645" customFormat="false" ht="15" hidden="false" customHeight="false" outlineLevel="0" collapsed="false">
      <c r="A645" s="2"/>
      <c r="K645" s="3"/>
      <c r="M645" s="3"/>
      <c r="Q645" s="3"/>
      <c r="AD645" s="3"/>
      <c r="AP645" s="3"/>
    </row>
    <row r="646" customFormat="false" ht="15" hidden="false" customHeight="false" outlineLevel="0" collapsed="false">
      <c r="A646" s="2"/>
      <c r="K646" s="3"/>
      <c r="M646" s="3"/>
      <c r="Q646" s="3"/>
      <c r="AD646" s="3"/>
      <c r="AP646" s="3"/>
    </row>
    <row r="647" customFormat="false" ht="15" hidden="false" customHeight="false" outlineLevel="0" collapsed="false">
      <c r="A647" s="2"/>
      <c r="K647" s="3"/>
      <c r="M647" s="3"/>
      <c r="Q647" s="3"/>
      <c r="AD647" s="3"/>
      <c r="AP647" s="3"/>
    </row>
    <row r="648" customFormat="false" ht="15" hidden="false" customHeight="false" outlineLevel="0" collapsed="false">
      <c r="A648" s="2"/>
      <c r="K648" s="3"/>
      <c r="M648" s="3"/>
      <c r="Q648" s="3"/>
      <c r="AD648" s="3"/>
      <c r="AP648" s="3"/>
    </row>
    <row r="649" customFormat="false" ht="15" hidden="false" customHeight="false" outlineLevel="0" collapsed="false">
      <c r="A649" s="2"/>
      <c r="K649" s="3"/>
      <c r="M649" s="3"/>
      <c r="Q649" s="3"/>
      <c r="AD649" s="3"/>
      <c r="AP649" s="3"/>
    </row>
    <row r="650" customFormat="false" ht="15" hidden="false" customHeight="false" outlineLevel="0" collapsed="false">
      <c r="A650" s="2"/>
      <c r="K650" s="3"/>
      <c r="M650" s="3"/>
      <c r="Q650" s="3"/>
      <c r="AD650" s="3"/>
      <c r="AP650" s="3"/>
    </row>
    <row r="651" customFormat="false" ht="15" hidden="false" customHeight="false" outlineLevel="0" collapsed="false">
      <c r="A651" s="2"/>
      <c r="K651" s="3"/>
      <c r="M651" s="3"/>
      <c r="Q651" s="3"/>
      <c r="AD651" s="3"/>
      <c r="AP651" s="3"/>
    </row>
    <row r="652" customFormat="false" ht="15" hidden="false" customHeight="false" outlineLevel="0" collapsed="false">
      <c r="A652" s="2"/>
      <c r="K652" s="3"/>
      <c r="M652" s="3"/>
      <c r="Q652" s="3"/>
      <c r="AD652" s="3"/>
      <c r="AP652" s="3"/>
    </row>
    <row r="653" customFormat="false" ht="15" hidden="false" customHeight="false" outlineLevel="0" collapsed="false">
      <c r="A653" s="2"/>
      <c r="K653" s="3"/>
      <c r="M653" s="3"/>
      <c r="Q653" s="3"/>
      <c r="AD653" s="3"/>
      <c r="AP653" s="3"/>
    </row>
    <row r="654" customFormat="false" ht="15" hidden="false" customHeight="false" outlineLevel="0" collapsed="false">
      <c r="A654" s="2"/>
      <c r="K654" s="3"/>
      <c r="M654" s="3"/>
      <c r="Q654" s="3"/>
      <c r="AD654" s="3"/>
      <c r="AP654" s="3"/>
    </row>
    <row r="655" customFormat="false" ht="15" hidden="false" customHeight="false" outlineLevel="0" collapsed="false">
      <c r="A655" s="2"/>
      <c r="K655" s="3"/>
      <c r="M655" s="3"/>
      <c r="Q655" s="3"/>
      <c r="AD655" s="3"/>
      <c r="AP655" s="3"/>
    </row>
    <row r="656" customFormat="false" ht="15" hidden="false" customHeight="false" outlineLevel="0" collapsed="false">
      <c r="A656" s="2"/>
      <c r="K656" s="3"/>
      <c r="M656" s="3"/>
      <c r="Q656" s="3"/>
      <c r="AD656" s="3"/>
      <c r="AP656" s="3"/>
    </row>
    <row r="657" customFormat="false" ht="15" hidden="false" customHeight="false" outlineLevel="0" collapsed="false">
      <c r="A657" s="2"/>
      <c r="K657" s="3"/>
      <c r="M657" s="3"/>
      <c r="Q657" s="3"/>
      <c r="AD657" s="3"/>
      <c r="AP657" s="3"/>
    </row>
    <row r="658" customFormat="false" ht="15" hidden="false" customHeight="false" outlineLevel="0" collapsed="false">
      <c r="A658" s="2"/>
      <c r="K658" s="3"/>
      <c r="M658" s="3"/>
      <c r="Q658" s="3"/>
      <c r="AD658" s="3"/>
      <c r="AP658" s="3"/>
    </row>
    <row r="659" customFormat="false" ht="15" hidden="false" customHeight="false" outlineLevel="0" collapsed="false">
      <c r="A659" s="2"/>
      <c r="K659" s="3"/>
      <c r="M659" s="3"/>
      <c r="Q659" s="3"/>
      <c r="AD659" s="3"/>
      <c r="AP659" s="3"/>
    </row>
    <row r="660" customFormat="false" ht="15" hidden="false" customHeight="false" outlineLevel="0" collapsed="false">
      <c r="A660" s="2"/>
      <c r="K660" s="3"/>
      <c r="M660" s="3"/>
      <c r="Q660" s="3"/>
      <c r="AD660" s="3"/>
      <c r="AP660" s="3"/>
    </row>
    <row r="661" customFormat="false" ht="15" hidden="false" customHeight="false" outlineLevel="0" collapsed="false">
      <c r="A661" s="2"/>
      <c r="K661" s="3"/>
      <c r="M661" s="3"/>
      <c r="Q661" s="3"/>
      <c r="AD661" s="3"/>
      <c r="AP661" s="3"/>
    </row>
    <row r="662" customFormat="false" ht="15" hidden="false" customHeight="false" outlineLevel="0" collapsed="false">
      <c r="A662" s="2"/>
      <c r="K662" s="3"/>
      <c r="M662" s="3"/>
      <c r="Q662" s="3"/>
      <c r="AD662" s="3"/>
      <c r="AP662" s="3"/>
    </row>
    <row r="663" customFormat="false" ht="15" hidden="false" customHeight="false" outlineLevel="0" collapsed="false">
      <c r="A663" s="2"/>
      <c r="K663" s="3"/>
      <c r="M663" s="3"/>
      <c r="Q663" s="3"/>
      <c r="AD663" s="3"/>
      <c r="AP663" s="3"/>
    </row>
    <row r="664" customFormat="false" ht="15" hidden="false" customHeight="false" outlineLevel="0" collapsed="false">
      <c r="A664" s="2"/>
      <c r="K664" s="3"/>
      <c r="M664" s="3"/>
      <c r="Q664" s="3"/>
      <c r="AD664" s="3"/>
      <c r="AP664" s="3"/>
    </row>
    <row r="665" customFormat="false" ht="15" hidden="false" customHeight="false" outlineLevel="0" collapsed="false">
      <c r="A665" s="2"/>
      <c r="K665" s="3"/>
      <c r="M665" s="3"/>
      <c r="Q665" s="3"/>
      <c r="AD665" s="3"/>
      <c r="AP665" s="3"/>
    </row>
    <row r="666" customFormat="false" ht="15" hidden="false" customHeight="false" outlineLevel="0" collapsed="false">
      <c r="A666" s="2"/>
      <c r="K666" s="3"/>
      <c r="M666" s="3"/>
      <c r="Q666" s="3"/>
      <c r="AD666" s="3"/>
      <c r="AP666" s="3"/>
    </row>
    <row r="667" customFormat="false" ht="15" hidden="false" customHeight="false" outlineLevel="0" collapsed="false">
      <c r="A667" s="2"/>
      <c r="K667" s="3"/>
      <c r="M667" s="3"/>
      <c r="Q667" s="3"/>
      <c r="AD667" s="3"/>
      <c r="AP667" s="3"/>
    </row>
    <row r="668" customFormat="false" ht="15" hidden="false" customHeight="false" outlineLevel="0" collapsed="false">
      <c r="A668" s="2"/>
      <c r="K668" s="3"/>
      <c r="M668" s="3"/>
      <c r="Q668" s="3"/>
      <c r="AD668" s="3"/>
      <c r="AP668" s="3"/>
    </row>
    <row r="669" customFormat="false" ht="15" hidden="false" customHeight="false" outlineLevel="0" collapsed="false">
      <c r="A669" s="2"/>
      <c r="K669" s="3"/>
      <c r="M669" s="3"/>
      <c r="Q669" s="3"/>
      <c r="AD669" s="3"/>
      <c r="AP669" s="3"/>
    </row>
    <row r="670" customFormat="false" ht="15" hidden="false" customHeight="false" outlineLevel="0" collapsed="false">
      <c r="A670" s="2"/>
      <c r="K670" s="3"/>
      <c r="M670" s="3"/>
      <c r="Q670" s="3"/>
      <c r="AD670" s="3"/>
      <c r="AP670" s="3"/>
    </row>
    <row r="671" customFormat="false" ht="15" hidden="false" customHeight="false" outlineLevel="0" collapsed="false">
      <c r="A671" s="2"/>
      <c r="K671" s="3"/>
      <c r="M671" s="3"/>
      <c r="Q671" s="3"/>
      <c r="AD671" s="3"/>
      <c r="AP671" s="3"/>
    </row>
    <row r="672" customFormat="false" ht="15" hidden="false" customHeight="false" outlineLevel="0" collapsed="false">
      <c r="A672" s="2"/>
      <c r="K672" s="3"/>
      <c r="M672" s="3"/>
      <c r="Q672" s="3"/>
      <c r="AD672" s="3"/>
      <c r="AP672" s="3"/>
    </row>
    <row r="673" customFormat="false" ht="15" hidden="false" customHeight="false" outlineLevel="0" collapsed="false">
      <c r="A673" s="2"/>
      <c r="K673" s="3"/>
      <c r="M673" s="3"/>
      <c r="Q673" s="3"/>
      <c r="AD673" s="3"/>
      <c r="AP673" s="3"/>
    </row>
    <row r="674" customFormat="false" ht="15" hidden="false" customHeight="false" outlineLevel="0" collapsed="false">
      <c r="A674" s="2"/>
      <c r="K674" s="3"/>
      <c r="M674" s="3"/>
      <c r="Q674" s="3"/>
      <c r="AD674" s="3"/>
      <c r="AP674" s="3"/>
    </row>
    <row r="675" customFormat="false" ht="15" hidden="false" customHeight="false" outlineLevel="0" collapsed="false">
      <c r="A675" s="2"/>
      <c r="K675" s="3"/>
      <c r="M675" s="3"/>
      <c r="Q675" s="3"/>
      <c r="AD675" s="3"/>
      <c r="AP675" s="3"/>
    </row>
    <row r="676" customFormat="false" ht="15" hidden="false" customHeight="false" outlineLevel="0" collapsed="false">
      <c r="A676" s="2"/>
      <c r="K676" s="3"/>
      <c r="M676" s="3"/>
      <c r="Q676" s="3"/>
      <c r="AD676" s="3"/>
      <c r="AP676" s="3"/>
    </row>
    <row r="677" customFormat="false" ht="15" hidden="false" customHeight="false" outlineLevel="0" collapsed="false">
      <c r="A677" s="2"/>
      <c r="K677" s="3"/>
      <c r="M677" s="3"/>
      <c r="Q677" s="3"/>
      <c r="AD677" s="3"/>
      <c r="AP677" s="3"/>
    </row>
    <row r="678" customFormat="false" ht="15" hidden="false" customHeight="false" outlineLevel="0" collapsed="false">
      <c r="A678" s="2"/>
      <c r="K678" s="3"/>
      <c r="M678" s="3"/>
      <c r="Q678" s="3"/>
      <c r="AD678" s="3"/>
      <c r="AP678" s="3"/>
    </row>
    <row r="679" customFormat="false" ht="15" hidden="false" customHeight="false" outlineLevel="0" collapsed="false">
      <c r="A679" s="2"/>
      <c r="K679" s="3"/>
      <c r="M679" s="3"/>
      <c r="Q679" s="3"/>
      <c r="AD679" s="3"/>
      <c r="AP679" s="3"/>
    </row>
    <row r="680" customFormat="false" ht="15" hidden="false" customHeight="false" outlineLevel="0" collapsed="false">
      <c r="A680" s="2"/>
      <c r="K680" s="3"/>
      <c r="M680" s="3"/>
      <c r="Q680" s="3"/>
      <c r="AD680" s="3"/>
      <c r="AP680" s="3"/>
    </row>
    <row r="681" customFormat="false" ht="15" hidden="false" customHeight="false" outlineLevel="0" collapsed="false">
      <c r="A681" s="2"/>
      <c r="K681" s="3"/>
      <c r="M681" s="3"/>
      <c r="Q681" s="3"/>
      <c r="AD681" s="3"/>
      <c r="AP681" s="3"/>
    </row>
    <row r="682" customFormat="false" ht="15" hidden="false" customHeight="false" outlineLevel="0" collapsed="false">
      <c r="A682" s="2"/>
      <c r="K682" s="3"/>
      <c r="M682" s="3"/>
      <c r="Q682" s="3"/>
      <c r="AD682" s="3"/>
      <c r="AP682" s="3"/>
    </row>
    <row r="683" customFormat="false" ht="15" hidden="false" customHeight="false" outlineLevel="0" collapsed="false">
      <c r="A683" s="2"/>
      <c r="K683" s="3"/>
      <c r="M683" s="3"/>
      <c r="Q683" s="3"/>
      <c r="AD683" s="3"/>
      <c r="AP683" s="3"/>
    </row>
    <row r="684" customFormat="false" ht="15" hidden="false" customHeight="false" outlineLevel="0" collapsed="false">
      <c r="A684" s="2"/>
      <c r="K684" s="3"/>
      <c r="M684" s="3"/>
      <c r="Q684" s="3"/>
      <c r="AD684" s="3"/>
      <c r="AP684" s="3"/>
    </row>
    <row r="685" customFormat="false" ht="15" hidden="false" customHeight="false" outlineLevel="0" collapsed="false">
      <c r="A685" s="2"/>
      <c r="K685" s="3"/>
      <c r="M685" s="3"/>
      <c r="Q685" s="3"/>
      <c r="AD685" s="3"/>
      <c r="AP685" s="3"/>
    </row>
    <row r="686" customFormat="false" ht="15" hidden="false" customHeight="false" outlineLevel="0" collapsed="false">
      <c r="A686" s="2"/>
      <c r="K686" s="3"/>
      <c r="M686" s="3"/>
      <c r="Q686" s="3"/>
      <c r="AD686" s="3"/>
      <c r="AP686" s="3"/>
    </row>
    <row r="687" customFormat="false" ht="15" hidden="false" customHeight="false" outlineLevel="0" collapsed="false">
      <c r="A687" s="2"/>
      <c r="K687" s="3"/>
      <c r="M687" s="3"/>
      <c r="Q687" s="3"/>
      <c r="AD687" s="3"/>
      <c r="AP687" s="3"/>
    </row>
    <row r="688" customFormat="false" ht="15" hidden="false" customHeight="false" outlineLevel="0" collapsed="false">
      <c r="A688" s="2"/>
      <c r="K688" s="3"/>
      <c r="M688" s="3"/>
      <c r="Q688" s="3"/>
      <c r="AD688" s="3"/>
      <c r="AP688" s="3"/>
    </row>
    <row r="689" customFormat="false" ht="15" hidden="false" customHeight="false" outlineLevel="0" collapsed="false">
      <c r="A689" s="2"/>
      <c r="K689" s="3"/>
      <c r="M689" s="3"/>
      <c r="Q689" s="3"/>
      <c r="AD689" s="3"/>
      <c r="AP689" s="3"/>
    </row>
    <row r="690" customFormat="false" ht="15" hidden="false" customHeight="false" outlineLevel="0" collapsed="false">
      <c r="A690" s="2"/>
      <c r="K690" s="3"/>
      <c r="M690" s="3"/>
      <c r="Q690" s="3"/>
      <c r="AD690" s="3"/>
      <c r="AP690" s="3"/>
    </row>
    <row r="691" customFormat="false" ht="15" hidden="false" customHeight="false" outlineLevel="0" collapsed="false">
      <c r="A691" s="2"/>
      <c r="K691" s="3"/>
      <c r="M691" s="3"/>
      <c r="Q691" s="3"/>
      <c r="AD691" s="3"/>
      <c r="AP691" s="3"/>
    </row>
    <row r="692" customFormat="false" ht="15" hidden="false" customHeight="false" outlineLevel="0" collapsed="false">
      <c r="A692" s="2"/>
      <c r="K692" s="3"/>
      <c r="M692" s="3"/>
      <c r="Q692" s="3"/>
      <c r="AD692" s="3"/>
      <c r="AP692" s="3"/>
    </row>
    <row r="693" customFormat="false" ht="15" hidden="false" customHeight="false" outlineLevel="0" collapsed="false">
      <c r="A693" s="2"/>
      <c r="K693" s="3"/>
      <c r="M693" s="3"/>
      <c r="Q693" s="3"/>
      <c r="AD693" s="3"/>
      <c r="AP693" s="3"/>
    </row>
    <row r="694" customFormat="false" ht="15" hidden="false" customHeight="false" outlineLevel="0" collapsed="false">
      <c r="A694" s="2"/>
      <c r="K694" s="3"/>
      <c r="M694" s="3"/>
      <c r="Q694" s="3"/>
      <c r="AD694" s="3"/>
      <c r="AP694" s="3"/>
    </row>
    <row r="695" customFormat="false" ht="15" hidden="false" customHeight="false" outlineLevel="0" collapsed="false">
      <c r="A695" s="2"/>
      <c r="K695" s="3"/>
      <c r="M695" s="3"/>
      <c r="Q695" s="3"/>
      <c r="AD695" s="3"/>
      <c r="AP695" s="3"/>
    </row>
    <row r="696" customFormat="false" ht="15" hidden="false" customHeight="false" outlineLevel="0" collapsed="false">
      <c r="A696" s="2"/>
      <c r="K696" s="3"/>
      <c r="M696" s="3"/>
      <c r="Q696" s="3"/>
      <c r="AD696" s="3"/>
      <c r="AP696" s="3"/>
    </row>
    <row r="697" customFormat="false" ht="15" hidden="false" customHeight="false" outlineLevel="0" collapsed="false">
      <c r="A697" s="2"/>
      <c r="K697" s="3"/>
      <c r="M697" s="3"/>
      <c r="Q697" s="3"/>
      <c r="AD697" s="3"/>
      <c r="AP697" s="3"/>
    </row>
    <row r="698" customFormat="false" ht="15" hidden="false" customHeight="false" outlineLevel="0" collapsed="false">
      <c r="A698" s="2"/>
      <c r="K698" s="3"/>
      <c r="M698" s="3"/>
      <c r="Q698" s="3"/>
      <c r="AD698" s="3"/>
      <c r="AP698" s="3"/>
    </row>
    <row r="699" customFormat="false" ht="15" hidden="false" customHeight="false" outlineLevel="0" collapsed="false">
      <c r="A699" s="2"/>
      <c r="K699" s="3"/>
      <c r="M699" s="3"/>
      <c r="Q699" s="3"/>
      <c r="AD699" s="3"/>
      <c r="AP699" s="3"/>
    </row>
    <row r="700" customFormat="false" ht="15" hidden="false" customHeight="false" outlineLevel="0" collapsed="false">
      <c r="A700" s="2"/>
      <c r="K700" s="3"/>
      <c r="M700" s="3"/>
      <c r="Q700" s="3"/>
      <c r="AD700" s="3"/>
      <c r="AP700" s="3"/>
    </row>
    <row r="701" customFormat="false" ht="15" hidden="false" customHeight="false" outlineLevel="0" collapsed="false">
      <c r="A701" s="2"/>
      <c r="K701" s="3"/>
      <c r="M701" s="3"/>
      <c r="Q701" s="3"/>
      <c r="AD701" s="3"/>
      <c r="AP701" s="3"/>
    </row>
    <row r="702" customFormat="false" ht="15" hidden="false" customHeight="false" outlineLevel="0" collapsed="false">
      <c r="A702" s="2"/>
      <c r="K702" s="3"/>
      <c r="M702" s="3"/>
      <c r="Q702" s="3"/>
      <c r="AD702" s="3"/>
      <c r="AP702" s="3"/>
    </row>
    <row r="703" customFormat="false" ht="15" hidden="false" customHeight="false" outlineLevel="0" collapsed="false">
      <c r="A703" s="2"/>
      <c r="K703" s="3"/>
      <c r="M703" s="3"/>
      <c r="Q703" s="3"/>
      <c r="AD703" s="3"/>
      <c r="AP703" s="3"/>
    </row>
    <row r="704" customFormat="false" ht="15" hidden="false" customHeight="false" outlineLevel="0" collapsed="false">
      <c r="A704" s="2"/>
      <c r="K704" s="3"/>
      <c r="M704" s="3"/>
      <c r="Q704" s="3"/>
      <c r="AD704" s="3"/>
      <c r="AP704" s="3"/>
    </row>
    <row r="705" customFormat="false" ht="15" hidden="false" customHeight="false" outlineLevel="0" collapsed="false">
      <c r="A705" s="2"/>
      <c r="K705" s="3"/>
      <c r="M705" s="3"/>
      <c r="Q705" s="3"/>
      <c r="AD705" s="3"/>
      <c r="AP705" s="3"/>
    </row>
    <row r="706" customFormat="false" ht="15" hidden="false" customHeight="false" outlineLevel="0" collapsed="false">
      <c r="A706" s="2"/>
      <c r="K706" s="3"/>
      <c r="M706" s="3"/>
      <c r="Q706" s="3"/>
      <c r="AD706" s="3"/>
      <c r="AP706" s="3"/>
    </row>
    <row r="707" customFormat="false" ht="15" hidden="false" customHeight="false" outlineLevel="0" collapsed="false">
      <c r="A707" s="2"/>
      <c r="K707" s="3"/>
      <c r="M707" s="3"/>
      <c r="Q707" s="3"/>
      <c r="AD707" s="3"/>
      <c r="AP707" s="3"/>
    </row>
    <row r="708" customFormat="false" ht="15" hidden="false" customHeight="false" outlineLevel="0" collapsed="false">
      <c r="A708" s="2"/>
      <c r="K708" s="3"/>
      <c r="M708" s="3"/>
      <c r="Q708" s="3"/>
      <c r="AD708" s="3"/>
      <c r="AP708" s="3"/>
    </row>
    <row r="709" customFormat="false" ht="15" hidden="false" customHeight="false" outlineLevel="0" collapsed="false">
      <c r="A709" s="2"/>
      <c r="K709" s="3"/>
      <c r="M709" s="3"/>
      <c r="Q709" s="3"/>
      <c r="AD709" s="3"/>
      <c r="AP709" s="3"/>
    </row>
    <row r="710" customFormat="false" ht="15" hidden="false" customHeight="false" outlineLevel="0" collapsed="false">
      <c r="A710" s="2"/>
      <c r="K710" s="3"/>
      <c r="M710" s="3"/>
      <c r="Q710" s="3"/>
      <c r="AD710" s="3"/>
      <c r="AP710" s="3"/>
    </row>
    <row r="711" customFormat="false" ht="15" hidden="false" customHeight="false" outlineLevel="0" collapsed="false">
      <c r="A711" s="2"/>
      <c r="K711" s="3"/>
      <c r="M711" s="3"/>
      <c r="Q711" s="3"/>
      <c r="AD711" s="3"/>
      <c r="AP711" s="3"/>
    </row>
    <row r="712" customFormat="false" ht="15" hidden="false" customHeight="false" outlineLevel="0" collapsed="false">
      <c r="A712" s="2"/>
      <c r="K712" s="3"/>
      <c r="M712" s="3"/>
      <c r="Q712" s="3"/>
      <c r="AD712" s="3"/>
      <c r="AP712" s="3"/>
    </row>
    <row r="713" customFormat="false" ht="15" hidden="false" customHeight="false" outlineLevel="0" collapsed="false">
      <c r="A713" s="2"/>
      <c r="K713" s="3"/>
      <c r="M713" s="3"/>
      <c r="Q713" s="3"/>
      <c r="AD713" s="3"/>
      <c r="AP713" s="3"/>
    </row>
    <row r="714" customFormat="false" ht="15" hidden="false" customHeight="false" outlineLevel="0" collapsed="false">
      <c r="A714" s="2"/>
      <c r="K714" s="3"/>
      <c r="M714" s="3"/>
      <c r="Q714" s="3"/>
      <c r="AD714" s="3"/>
      <c r="AP714" s="3"/>
    </row>
    <row r="715" customFormat="false" ht="15" hidden="false" customHeight="false" outlineLevel="0" collapsed="false">
      <c r="A715" s="2"/>
      <c r="K715" s="3"/>
      <c r="M715" s="3"/>
      <c r="Q715" s="3"/>
      <c r="AD715" s="3"/>
      <c r="AP715" s="3"/>
    </row>
    <row r="716" customFormat="false" ht="15" hidden="false" customHeight="false" outlineLevel="0" collapsed="false">
      <c r="A716" s="2"/>
      <c r="K716" s="3"/>
      <c r="M716" s="3"/>
      <c r="Q716" s="3"/>
      <c r="AD716" s="3"/>
      <c r="AP716" s="3"/>
    </row>
    <row r="717" customFormat="false" ht="15" hidden="false" customHeight="false" outlineLevel="0" collapsed="false">
      <c r="A717" s="2"/>
      <c r="K717" s="3"/>
      <c r="M717" s="3"/>
      <c r="Q717" s="3"/>
      <c r="AD717" s="3"/>
      <c r="AP717" s="3"/>
    </row>
    <row r="718" customFormat="false" ht="15" hidden="false" customHeight="false" outlineLevel="0" collapsed="false">
      <c r="A718" s="2"/>
      <c r="K718" s="3"/>
      <c r="M718" s="3"/>
      <c r="Q718" s="3"/>
      <c r="AD718" s="3"/>
      <c r="AP718" s="3"/>
    </row>
    <row r="719" customFormat="false" ht="15" hidden="false" customHeight="false" outlineLevel="0" collapsed="false">
      <c r="A719" s="2"/>
      <c r="K719" s="3"/>
      <c r="M719" s="3"/>
      <c r="Q719" s="3"/>
      <c r="AD719" s="3"/>
      <c r="AP719" s="3"/>
    </row>
    <row r="720" customFormat="false" ht="15" hidden="false" customHeight="false" outlineLevel="0" collapsed="false">
      <c r="A720" s="2"/>
      <c r="K720" s="3"/>
      <c r="M720" s="3"/>
      <c r="Q720" s="3"/>
      <c r="AD720" s="3"/>
      <c r="AP720" s="3"/>
    </row>
    <row r="721" customFormat="false" ht="15" hidden="false" customHeight="false" outlineLevel="0" collapsed="false">
      <c r="A721" s="2"/>
      <c r="K721" s="3"/>
      <c r="M721" s="3"/>
      <c r="Q721" s="3"/>
      <c r="AD721" s="3"/>
      <c r="AP721" s="3"/>
    </row>
    <row r="722" customFormat="false" ht="15" hidden="false" customHeight="false" outlineLevel="0" collapsed="false">
      <c r="A722" s="2"/>
      <c r="K722" s="3"/>
      <c r="M722" s="3"/>
      <c r="Q722" s="3"/>
      <c r="AD722" s="3"/>
      <c r="AP722" s="3"/>
    </row>
    <row r="723" customFormat="false" ht="15" hidden="false" customHeight="false" outlineLevel="0" collapsed="false">
      <c r="A723" s="2"/>
      <c r="K723" s="3"/>
      <c r="M723" s="3"/>
      <c r="Q723" s="3"/>
      <c r="AD723" s="3"/>
      <c r="AP723" s="3"/>
    </row>
    <row r="724" customFormat="false" ht="15" hidden="false" customHeight="false" outlineLevel="0" collapsed="false">
      <c r="A724" s="2"/>
      <c r="K724" s="3"/>
      <c r="M724" s="3"/>
      <c r="Q724" s="3"/>
      <c r="AD724" s="3"/>
      <c r="AP724" s="3"/>
    </row>
    <row r="725" customFormat="false" ht="15" hidden="false" customHeight="false" outlineLevel="0" collapsed="false">
      <c r="A725" s="2"/>
      <c r="K725" s="3"/>
      <c r="M725" s="3"/>
      <c r="Q725" s="3"/>
      <c r="AD725" s="3"/>
      <c r="AP725" s="3"/>
    </row>
    <row r="726" customFormat="false" ht="15" hidden="false" customHeight="false" outlineLevel="0" collapsed="false">
      <c r="A726" s="2"/>
      <c r="K726" s="3"/>
      <c r="M726" s="3"/>
      <c r="Q726" s="3"/>
      <c r="AD726" s="3"/>
      <c r="AP726" s="3"/>
    </row>
    <row r="727" customFormat="false" ht="15" hidden="false" customHeight="false" outlineLevel="0" collapsed="false">
      <c r="A727" s="2"/>
      <c r="K727" s="3"/>
      <c r="M727" s="3"/>
      <c r="Q727" s="3"/>
      <c r="AD727" s="3"/>
      <c r="AP727" s="3"/>
    </row>
    <row r="728" customFormat="false" ht="15" hidden="false" customHeight="false" outlineLevel="0" collapsed="false">
      <c r="A728" s="2"/>
      <c r="K728" s="3"/>
      <c r="M728" s="3"/>
      <c r="Q728" s="3"/>
      <c r="AD728" s="3"/>
      <c r="AP728" s="3"/>
    </row>
    <row r="729" customFormat="false" ht="15" hidden="false" customHeight="false" outlineLevel="0" collapsed="false">
      <c r="A729" s="2"/>
      <c r="K729" s="3"/>
      <c r="M729" s="3"/>
      <c r="Q729" s="3"/>
      <c r="AD729" s="3"/>
      <c r="AP729" s="3"/>
    </row>
    <row r="730" customFormat="false" ht="15" hidden="false" customHeight="false" outlineLevel="0" collapsed="false">
      <c r="A730" s="2"/>
      <c r="K730" s="3"/>
      <c r="M730" s="3"/>
      <c r="Q730" s="3"/>
      <c r="AD730" s="3"/>
      <c r="AP730" s="3"/>
    </row>
    <row r="731" customFormat="false" ht="15" hidden="false" customHeight="false" outlineLevel="0" collapsed="false">
      <c r="A731" s="2"/>
      <c r="K731" s="3"/>
      <c r="M731" s="3"/>
      <c r="Q731" s="3"/>
      <c r="AD731" s="3"/>
      <c r="AP731" s="3"/>
    </row>
    <row r="732" customFormat="false" ht="15" hidden="false" customHeight="false" outlineLevel="0" collapsed="false">
      <c r="A732" s="2"/>
      <c r="K732" s="3"/>
      <c r="M732" s="3"/>
      <c r="Q732" s="3"/>
      <c r="AD732" s="3"/>
      <c r="AP732" s="3"/>
    </row>
    <row r="733" customFormat="false" ht="15" hidden="false" customHeight="false" outlineLevel="0" collapsed="false">
      <c r="A733" s="2"/>
      <c r="K733" s="3"/>
      <c r="M733" s="3"/>
      <c r="Q733" s="3"/>
      <c r="AD733" s="3"/>
      <c r="AP733" s="3"/>
    </row>
    <row r="734" customFormat="false" ht="15" hidden="false" customHeight="false" outlineLevel="0" collapsed="false">
      <c r="A734" s="2"/>
      <c r="K734" s="3"/>
      <c r="M734" s="3"/>
      <c r="Q734" s="3"/>
      <c r="AD734" s="3"/>
      <c r="AP734" s="3"/>
    </row>
    <row r="735" customFormat="false" ht="15" hidden="false" customHeight="false" outlineLevel="0" collapsed="false">
      <c r="A735" s="2"/>
      <c r="K735" s="3"/>
      <c r="M735" s="3"/>
      <c r="Q735" s="3"/>
      <c r="AD735" s="3"/>
      <c r="AP735" s="3"/>
    </row>
    <row r="736" customFormat="false" ht="15" hidden="false" customHeight="false" outlineLevel="0" collapsed="false">
      <c r="A736" s="2"/>
      <c r="K736" s="3"/>
      <c r="M736" s="3"/>
      <c r="Q736" s="3"/>
      <c r="AD736" s="3"/>
      <c r="AP736" s="3"/>
    </row>
    <row r="737" customFormat="false" ht="15" hidden="false" customHeight="false" outlineLevel="0" collapsed="false">
      <c r="A737" s="2"/>
      <c r="K737" s="3"/>
      <c r="M737" s="3"/>
      <c r="Q737" s="3"/>
      <c r="AD737" s="3"/>
      <c r="AP737" s="3"/>
    </row>
    <row r="738" customFormat="false" ht="15" hidden="false" customHeight="false" outlineLevel="0" collapsed="false">
      <c r="A738" s="2"/>
      <c r="K738" s="3"/>
      <c r="M738" s="3"/>
      <c r="Q738" s="3"/>
      <c r="AD738" s="3"/>
      <c r="AP738" s="3"/>
    </row>
    <row r="739" customFormat="false" ht="15" hidden="false" customHeight="false" outlineLevel="0" collapsed="false">
      <c r="A739" s="2"/>
      <c r="K739" s="3"/>
      <c r="M739" s="3"/>
      <c r="Q739" s="3"/>
      <c r="AD739" s="3"/>
      <c r="AP739" s="3"/>
    </row>
    <row r="740" customFormat="false" ht="15" hidden="false" customHeight="false" outlineLevel="0" collapsed="false">
      <c r="A740" s="2"/>
      <c r="K740" s="3"/>
      <c r="M740" s="3"/>
      <c r="Q740" s="3"/>
      <c r="AD740" s="3"/>
      <c r="AP740" s="3"/>
    </row>
    <row r="741" customFormat="false" ht="15" hidden="false" customHeight="false" outlineLevel="0" collapsed="false">
      <c r="A741" s="2"/>
      <c r="K741" s="3"/>
      <c r="M741" s="3"/>
      <c r="Q741" s="3"/>
      <c r="AD741" s="3"/>
      <c r="AP741" s="3"/>
    </row>
    <row r="742" customFormat="false" ht="15" hidden="false" customHeight="false" outlineLevel="0" collapsed="false">
      <c r="A742" s="2"/>
      <c r="K742" s="3"/>
      <c r="M742" s="3"/>
      <c r="Q742" s="3"/>
      <c r="AD742" s="3"/>
      <c r="AP742" s="3"/>
    </row>
    <row r="743" customFormat="false" ht="15" hidden="false" customHeight="false" outlineLevel="0" collapsed="false">
      <c r="A743" s="2"/>
      <c r="K743" s="3"/>
      <c r="M743" s="3"/>
      <c r="Q743" s="3"/>
      <c r="AD743" s="3"/>
      <c r="AP743" s="3"/>
    </row>
    <row r="744" customFormat="false" ht="15" hidden="false" customHeight="false" outlineLevel="0" collapsed="false">
      <c r="A744" s="2"/>
      <c r="K744" s="3"/>
      <c r="M744" s="3"/>
      <c r="Q744" s="3"/>
      <c r="AD744" s="3"/>
      <c r="AP744" s="3"/>
    </row>
    <row r="745" customFormat="false" ht="15" hidden="false" customHeight="false" outlineLevel="0" collapsed="false">
      <c r="A745" s="2"/>
      <c r="K745" s="3"/>
      <c r="M745" s="3"/>
      <c r="Q745" s="3"/>
      <c r="AD745" s="3"/>
      <c r="AP745" s="3"/>
    </row>
    <row r="746" customFormat="false" ht="15" hidden="false" customHeight="false" outlineLevel="0" collapsed="false">
      <c r="A746" s="2"/>
      <c r="K746" s="3"/>
      <c r="M746" s="3"/>
      <c r="Q746" s="3"/>
      <c r="AD746" s="3"/>
      <c r="AP746" s="3"/>
    </row>
    <row r="747" customFormat="false" ht="15" hidden="false" customHeight="false" outlineLevel="0" collapsed="false">
      <c r="A747" s="2"/>
      <c r="K747" s="3"/>
      <c r="M747" s="3"/>
      <c r="Q747" s="3"/>
      <c r="AD747" s="3"/>
      <c r="AP747" s="3"/>
    </row>
    <row r="748" customFormat="false" ht="15" hidden="false" customHeight="false" outlineLevel="0" collapsed="false">
      <c r="A748" s="2"/>
      <c r="K748" s="3"/>
      <c r="M748" s="3"/>
      <c r="Q748" s="3"/>
      <c r="AD748" s="3"/>
      <c r="AP748" s="3"/>
    </row>
    <row r="749" customFormat="false" ht="15" hidden="false" customHeight="false" outlineLevel="0" collapsed="false">
      <c r="A749" s="2"/>
      <c r="K749" s="3"/>
      <c r="M749" s="3"/>
      <c r="Q749" s="3"/>
      <c r="AD749" s="3"/>
      <c r="AP749" s="3"/>
    </row>
    <row r="750" customFormat="false" ht="15" hidden="false" customHeight="false" outlineLevel="0" collapsed="false">
      <c r="A750" s="2"/>
      <c r="K750" s="3"/>
      <c r="M750" s="3"/>
      <c r="Q750" s="3"/>
      <c r="AD750" s="3"/>
      <c r="AP750" s="3"/>
    </row>
    <row r="751" customFormat="false" ht="15" hidden="false" customHeight="false" outlineLevel="0" collapsed="false">
      <c r="A751" s="2"/>
      <c r="K751" s="3"/>
      <c r="M751" s="3"/>
      <c r="Q751" s="3"/>
      <c r="AD751" s="3"/>
      <c r="AP751" s="3"/>
    </row>
    <row r="752" customFormat="false" ht="15" hidden="false" customHeight="false" outlineLevel="0" collapsed="false">
      <c r="A752" s="2"/>
      <c r="K752" s="3"/>
      <c r="M752" s="3"/>
      <c r="Q752" s="3"/>
      <c r="AD752" s="3"/>
      <c r="AP752" s="3"/>
    </row>
    <row r="753" customFormat="false" ht="15" hidden="false" customHeight="false" outlineLevel="0" collapsed="false">
      <c r="A753" s="2"/>
      <c r="K753" s="3"/>
      <c r="M753" s="3"/>
      <c r="Q753" s="3"/>
      <c r="AD753" s="3"/>
      <c r="AP753" s="3"/>
    </row>
    <row r="754" customFormat="false" ht="15" hidden="false" customHeight="false" outlineLevel="0" collapsed="false">
      <c r="A754" s="2"/>
      <c r="K754" s="3"/>
      <c r="M754" s="3"/>
      <c r="Q754" s="3"/>
      <c r="AD754" s="3"/>
      <c r="AP754" s="3"/>
    </row>
    <row r="755" customFormat="false" ht="15" hidden="false" customHeight="false" outlineLevel="0" collapsed="false">
      <c r="A755" s="2"/>
      <c r="K755" s="3"/>
      <c r="M755" s="3"/>
      <c r="Q755" s="3"/>
      <c r="AD755" s="3"/>
      <c r="AP755" s="3"/>
    </row>
    <row r="756" customFormat="false" ht="15" hidden="false" customHeight="false" outlineLevel="0" collapsed="false">
      <c r="A756" s="2"/>
      <c r="K756" s="3"/>
      <c r="M756" s="3"/>
      <c r="Q756" s="3"/>
      <c r="AD756" s="3"/>
      <c r="AP756" s="3"/>
    </row>
    <row r="757" customFormat="false" ht="15" hidden="false" customHeight="false" outlineLevel="0" collapsed="false">
      <c r="A757" s="2"/>
      <c r="K757" s="3"/>
      <c r="M757" s="3"/>
      <c r="Q757" s="3"/>
      <c r="AD757" s="3"/>
      <c r="AP757" s="3"/>
    </row>
    <row r="758" customFormat="false" ht="15" hidden="false" customHeight="false" outlineLevel="0" collapsed="false">
      <c r="A758" s="2"/>
      <c r="K758" s="3"/>
      <c r="M758" s="3"/>
      <c r="Q758" s="3"/>
      <c r="AD758" s="3"/>
      <c r="AP758" s="3"/>
    </row>
    <row r="759" customFormat="false" ht="15" hidden="false" customHeight="false" outlineLevel="0" collapsed="false">
      <c r="A759" s="2"/>
      <c r="K759" s="3"/>
      <c r="M759" s="3"/>
      <c r="Q759" s="3"/>
      <c r="AD759" s="3"/>
      <c r="AP759" s="3"/>
    </row>
    <row r="760" customFormat="false" ht="15" hidden="false" customHeight="false" outlineLevel="0" collapsed="false">
      <c r="A760" s="2"/>
      <c r="K760" s="3"/>
      <c r="M760" s="3"/>
      <c r="Q760" s="3"/>
      <c r="AD760" s="3"/>
      <c r="AP760" s="3"/>
    </row>
    <row r="761" customFormat="false" ht="15" hidden="false" customHeight="false" outlineLevel="0" collapsed="false">
      <c r="A761" s="2"/>
      <c r="K761" s="3"/>
      <c r="M761" s="3"/>
      <c r="Q761" s="3"/>
      <c r="AD761" s="3"/>
      <c r="AP761" s="3"/>
    </row>
    <row r="762" customFormat="false" ht="15" hidden="false" customHeight="false" outlineLevel="0" collapsed="false">
      <c r="A762" s="2"/>
      <c r="K762" s="3"/>
      <c r="M762" s="3"/>
      <c r="Q762" s="3"/>
      <c r="AD762" s="3"/>
      <c r="AP762" s="3"/>
    </row>
    <row r="763" customFormat="false" ht="15" hidden="false" customHeight="false" outlineLevel="0" collapsed="false">
      <c r="A763" s="2"/>
      <c r="K763" s="3"/>
      <c r="M763" s="3"/>
      <c r="Q763" s="3"/>
      <c r="AD763" s="3"/>
      <c r="AP763" s="3"/>
    </row>
    <row r="764" customFormat="false" ht="15" hidden="false" customHeight="false" outlineLevel="0" collapsed="false">
      <c r="A764" s="2"/>
      <c r="K764" s="3"/>
      <c r="M764" s="3"/>
      <c r="Q764" s="3"/>
      <c r="AD764" s="3"/>
      <c r="AP764" s="3"/>
    </row>
    <row r="765" customFormat="false" ht="15" hidden="false" customHeight="false" outlineLevel="0" collapsed="false">
      <c r="A765" s="2"/>
      <c r="K765" s="3"/>
      <c r="M765" s="3"/>
      <c r="Q765" s="3"/>
      <c r="AD765" s="3"/>
      <c r="AP765" s="3"/>
    </row>
    <row r="766" customFormat="false" ht="15" hidden="false" customHeight="false" outlineLevel="0" collapsed="false">
      <c r="A766" s="2"/>
      <c r="K766" s="3"/>
      <c r="M766" s="3"/>
      <c r="Q766" s="3"/>
      <c r="AD766" s="3"/>
      <c r="AP766" s="3"/>
    </row>
    <row r="767" customFormat="false" ht="15" hidden="false" customHeight="false" outlineLevel="0" collapsed="false">
      <c r="A767" s="2"/>
      <c r="K767" s="3"/>
      <c r="M767" s="3"/>
      <c r="Q767" s="3"/>
      <c r="AD767" s="3"/>
      <c r="AP767" s="3"/>
    </row>
    <row r="768" customFormat="false" ht="15" hidden="false" customHeight="false" outlineLevel="0" collapsed="false">
      <c r="A768" s="2"/>
      <c r="K768" s="3"/>
      <c r="M768" s="3"/>
      <c r="Q768" s="3"/>
      <c r="AD768" s="3"/>
      <c r="AP768" s="3"/>
    </row>
    <row r="769" customFormat="false" ht="15" hidden="false" customHeight="false" outlineLevel="0" collapsed="false">
      <c r="A769" s="2"/>
      <c r="K769" s="3"/>
      <c r="M769" s="3"/>
      <c r="Q769" s="3"/>
      <c r="AD769" s="3"/>
      <c r="AP769" s="3"/>
    </row>
    <row r="770" customFormat="false" ht="15" hidden="false" customHeight="false" outlineLevel="0" collapsed="false">
      <c r="A770" s="2"/>
      <c r="K770" s="3"/>
      <c r="M770" s="3"/>
      <c r="Q770" s="3"/>
      <c r="AD770" s="3"/>
      <c r="AP770" s="3"/>
    </row>
    <row r="771" customFormat="false" ht="15" hidden="false" customHeight="false" outlineLevel="0" collapsed="false">
      <c r="A771" s="2"/>
      <c r="K771" s="3"/>
      <c r="M771" s="3"/>
      <c r="Q771" s="3"/>
      <c r="AD771" s="3"/>
      <c r="AP771" s="3"/>
    </row>
    <row r="772" customFormat="false" ht="15" hidden="false" customHeight="false" outlineLevel="0" collapsed="false">
      <c r="A772" s="2"/>
      <c r="K772" s="3"/>
      <c r="M772" s="3"/>
      <c r="Q772" s="3"/>
      <c r="AD772" s="3"/>
      <c r="AP772" s="3"/>
    </row>
    <row r="773" customFormat="false" ht="15" hidden="false" customHeight="false" outlineLevel="0" collapsed="false">
      <c r="A773" s="2"/>
      <c r="K773" s="3"/>
      <c r="M773" s="3"/>
      <c r="Q773" s="3"/>
      <c r="AD773" s="3"/>
      <c r="AP773" s="3"/>
    </row>
    <row r="774" customFormat="false" ht="15" hidden="false" customHeight="false" outlineLevel="0" collapsed="false">
      <c r="A774" s="2"/>
      <c r="K774" s="3"/>
      <c r="M774" s="3"/>
      <c r="Q774" s="3"/>
      <c r="AD774" s="3"/>
      <c r="AP774" s="3"/>
    </row>
    <row r="775" customFormat="false" ht="15" hidden="false" customHeight="false" outlineLevel="0" collapsed="false">
      <c r="A775" s="2"/>
      <c r="K775" s="3"/>
      <c r="M775" s="3"/>
      <c r="Q775" s="3"/>
      <c r="AD775" s="3"/>
      <c r="AP775" s="3"/>
    </row>
    <row r="776" customFormat="false" ht="15" hidden="false" customHeight="false" outlineLevel="0" collapsed="false">
      <c r="A776" s="2"/>
      <c r="K776" s="3"/>
      <c r="M776" s="3"/>
      <c r="Q776" s="3"/>
      <c r="AD776" s="3"/>
      <c r="AP776" s="3"/>
    </row>
    <row r="777" customFormat="false" ht="15" hidden="false" customHeight="false" outlineLevel="0" collapsed="false">
      <c r="A777" s="2"/>
      <c r="K777" s="3"/>
      <c r="M777" s="3"/>
      <c r="Q777" s="3"/>
      <c r="AD777" s="3"/>
      <c r="AP777" s="3"/>
    </row>
    <row r="778" customFormat="false" ht="15" hidden="false" customHeight="false" outlineLevel="0" collapsed="false">
      <c r="A778" s="2"/>
      <c r="K778" s="3"/>
      <c r="M778" s="3"/>
      <c r="Q778" s="3"/>
      <c r="AD778" s="3"/>
      <c r="AP778" s="3"/>
    </row>
    <row r="779" customFormat="false" ht="15" hidden="false" customHeight="false" outlineLevel="0" collapsed="false">
      <c r="A779" s="2"/>
      <c r="K779" s="3"/>
      <c r="M779" s="3"/>
      <c r="Q779" s="3"/>
      <c r="AD779" s="3"/>
      <c r="AP779" s="3"/>
    </row>
    <row r="780" customFormat="false" ht="15" hidden="false" customHeight="false" outlineLevel="0" collapsed="false">
      <c r="A780" s="2"/>
      <c r="K780" s="3"/>
      <c r="M780" s="3"/>
      <c r="Q780" s="3"/>
      <c r="AD780" s="3"/>
      <c r="AP780" s="3"/>
    </row>
    <row r="781" customFormat="false" ht="15" hidden="false" customHeight="false" outlineLevel="0" collapsed="false">
      <c r="A781" s="2"/>
      <c r="K781" s="3"/>
      <c r="M781" s="3"/>
      <c r="Q781" s="3"/>
      <c r="AD781" s="3"/>
      <c r="AP781" s="3"/>
    </row>
    <row r="782" customFormat="false" ht="15" hidden="false" customHeight="false" outlineLevel="0" collapsed="false">
      <c r="A782" s="2"/>
      <c r="K782" s="3"/>
      <c r="M782" s="3"/>
      <c r="Q782" s="3"/>
      <c r="AD782" s="3"/>
      <c r="AP782" s="3"/>
    </row>
    <row r="783" customFormat="false" ht="15" hidden="false" customHeight="false" outlineLevel="0" collapsed="false">
      <c r="A783" s="2"/>
      <c r="K783" s="3"/>
      <c r="M783" s="3"/>
      <c r="Q783" s="3"/>
      <c r="AD783" s="3"/>
      <c r="AP783" s="3"/>
    </row>
    <row r="784" customFormat="false" ht="15" hidden="false" customHeight="false" outlineLevel="0" collapsed="false">
      <c r="A784" s="2"/>
      <c r="K784" s="3"/>
      <c r="M784" s="3"/>
      <c r="Q784" s="3"/>
      <c r="AD784" s="3"/>
      <c r="AP784" s="3"/>
    </row>
    <row r="785" customFormat="false" ht="15" hidden="false" customHeight="false" outlineLevel="0" collapsed="false">
      <c r="A785" s="2"/>
      <c r="K785" s="3"/>
      <c r="M785" s="3"/>
      <c r="Q785" s="3"/>
      <c r="AD785" s="3"/>
      <c r="AP785" s="3"/>
    </row>
    <row r="786" customFormat="false" ht="15" hidden="false" customHeight="false" outlineLevel="0" collapsed="false">
      <c r="A786" s="2"/>
      <c r="K786" s="3"/>
      <c r="M786" s="3"/>
      <c r="Q786" s="3"/>
      <c r="AD786" s="3"/>
      <c r="AP786" s="3"/>
    </row>
    <row r="787" customFormat="false" ht="15" hidden="false" customHeight="false" outlineLevel="0" collapsed="false">
      <c r="A787" s="2"/>
      <c r="K787" s="3"/>
      <c r="M787" s="3"/>
      <c r="Q787" s="3"/>
      <c r="AD787" s="3"/>
      <c r="AP787" s="3"/>
    </row>
    <row r="788" customFormat="false" ht="15" hidden="false" customHeight="false" outlineLevel="0" collapsed="false">
      <c r="A788" s="2"/>
      <c r="K788" s="3"/>
      <c r="M788" s="3"/>
      <c r="Q788" s="3"/>
      <c r="AD788" s="3"/>
      <c r="AP788" s="3"/>
    </row>
    <row r="789" customFormat="false" ht="15" hidden="false" customHeight="false" outlineLevel="0" collapsed="false">
      <c r="A789" s="2"/>
      <c r="K789" s="3"/>
      <c r="M789" s="3"/>
      <c r="Q789" s="3"/>
      <c r="AD789" s="3"/>
      <c r="AP789" s="3"/>
    </row>
    <row r="790" customFormat="false" ht="15" hidden="false" customHeight="false" outlineLevel="0" collapsed="false">
      <c r="A790" s="2"/>
      <c r="K790" s="3"/>
      <c r="M790" s="3"/>
      <c r="Q790" s="3"/>
      <c r="AD790" s="3"/>
      <c r="AP790" s="3"/>
    </row>
    <row r="791" customFormat="false" ht="15" hidden="false" customHeight="false" outlineLevel="0" collapsed="false">
      <c r="A791" s="2"/>
      <c r="K791" s="3"/>
      <c r="M791" s="3"/>
      <c r="Q791" s="3"/>
      <c r="AD791" s="3"/>
      <c r="AP791" s="3"/>
    </row>
    <row r="792" customFormat="false" ht="15" hidden="false" customHeight="false" outlineLevel="0" collapsed="false">
      <c r="A792" s="2"/>
      <c r="K792" s="3"/>
      <c r="M792" s="3"/>
      <c r="Q792" s="3"/>
      <c r="AD792" s="3"/>
      <c r="AP792" s="3"/>
    </row>
    <row r="793" customFormat="false" ht="15" hidden="false" customHeight="false" outlineLevel="0" collapsed="false">
      <c r="A793" s="2"/>
      <c r="K793" s="3"/>
      <c r="M793" s="3"/>
      <c r="Q793" s="3"/>
      <c r="AD793" s="3"/>
      <c r="AP793" s="3"/>
    </row>
    <row r="794" customFormat="false" ht="15" hidden="false" customHeight="false" outlineLevel="0" collapsed="false">
      <c r="A794" s="2"/>
      <c r="K794" s="3"/>
      <c r="M794" s="3"/>
      <c r="Q794" s="3"/>
      <c r="AD794" s="3"/>
      <c r="AP794" s="3"/>
    </row>
    <row r="795" customFormat="false" ht="15" hidden="false" customHeight="false" outlineLevel="0" collapsed="false">
      <c r="A795" s="2"/>
      <c r="K795" s="3"/>
      <c r="M795" s="3"/>
      <c r="Q795" s="3"/>
      <c r="AD795" s="3"/>
      <c r="AP795" s="3"/>
    </row>
    <row r="796" customFormat="false" ht="15" hidden="false" customHeight="false" outlineLevel="0" collapsed="false">
      <c r="A796" s="2"/>
      <c r="K796" s="3"/>
      <c r="M796" s="3"/>
      <c r="Q796" s="3"/>
      <c r="AD796" s="3"/>
      <c r="AP796" s="3"/>
    </row>
    <row r="797" customFormat="false" ht="15" hidden="false" customHeight="false" outlineLevel="0" collapsed="false">
      <c r="A797" s="2"/>
      <c r="K797" s="3"/>
      <c r="M797" s="3"/>
      <c r="Q797" s="3"/>
      <c r="AD797" s="3"/>
      <c r="AP797" s="3"/>
    </row>
    <row r="798" customFormat="false" ht="15" hidden="false" customHeight="false" outlineLevel="0" collapsed="false">
      <c r="A798" s="2"/>
      <c r="K798" s="3"/>
      <c r="M798" s="3"/>
      <c r="Q798" s="3"/>
      <c r="AD798" s="3"/>
      <c r="AP798" s="3"/>
    </row>
    <row r="799" customFormat="false" ht="15" hidden="false" customHeight="false" outlineLevel="0" collapsed="false">
      <c r="A799" s="2"/>
      <c r="K799" s="3"/>
      <c r="M799" s="3"/>
      <c r="Q799" s="3"/>
      <c r="AD799" s="3"/>
      <c r="AP799" s="3"/>
    </row>
    <row r="800" customFormat="false" ht="15" hidden="false" customHeight="false" outlineLevel="0" collapsed="false">
      <c r="A800" s="2"/>
      <c r="K800" s="3"/>
      <c r="M800" s="3"/>
      <c r="Q800" s="3"/>
      <c r="AD800" s="3"/>
      <c r="AP800" s="3"/>
    </row>
    <row r="801" customFormat="false" ht="15" hidden="false" customHeight="false" outlineLevel="0" collapsed="false">
      <c r="A801" s="2"/>
      <c r="K801" s="3"/>
      <c r="M801" s="3"/>
      <c r="Q801" s="3"/>
      <c r="AD801" s="3"/>
      <c r="AP801" s="3"/>
    </row>
    <row r="802" customFormat="false" ht="15" hidden="false" customHeight="false" outlineLevel="0" collapsed="false">
      <c r="A802" s="2"/>
      <c r="K802" s="3"/>
      <c r="M802" s="3"/>
      <c r="Q802" s="3"/>
      <c r="AD802" s="3"/>
      <c r="AP802" s="3"/>
    </row>
    <row r="803" customFormat="false" ht="15" hidden="false" customHeight="false" outlineLevel="0" collapsed="false">
      <c r="A803" s="2"/>
      <c r="K803" s="3"/>
      <c r="M803" s="3"/>
      <c r="Q803" s="3"/>
      <c r="AD803" s="3"/>
      <c r="AP803" s="3"/>
    </row>
    <row r="804" customFormat="false" ht="15" hidden="false" customHeight="false" outlineLevel="0" collapsed="false">
      <c r="A804" s="2"/>
      <c r="K804" s="3"/>
      <c r="M804" s="3"/>
      <c r="Q804" s="3"/>
      <c r="AD804" s="3"/>
      <c r="AP804" s="3"/>
    </row>
    <row r="805" customFormat="false" ht="15" hidden="false" customHeight="false" outlineLevel="0" collapsed="false">
      <c r="A805" s="2"/>
      <c r="K805" s="3"/>
      <c r="M805" s="3"/>
      <c r="Q805" s="3"/>
      <c r="AD805" s="3"/>
      <c r="AP805" s="3"/>
    </row>
    <row r="806" customFormat="false" ht="15" hidden="false" customHeight="false" outlineLevel="0" collapsed="false">
      <c r="A806" s="2"/>
      <c r="K806" s="3"/>
      <c r="M806" s="3"/>
      <c r="Q806" s="3"/>
      <c r="AD806" s="3"/>
      <c r="AP806" s="3"/>
    </row>
    <row r="807" customFormat="false" ht="15" hidden="false" customHeight="false" outlineLevel="0" collapsed="false">
      <c r="A807" s="2"/>
      <c r="K807" s="3"/>
      <c r="M807" s="3"/>
      <c r="Q807" s="3"/>
      <c r="AD807" s="3"/>
      <c r="AP807" s="3"/>
    </row>
    <row r="808" customFormat="false" ht="15" hidden="false" customHeight="false" outlineLevel="0" collapsed="false">
      <c r="A808" s="2"/>
      <c r="K808" s="3"/>
      <c r="M808" s="3"/>
      <c r="Q808" s="3"/>
      <c r="AD808" s="3"/>
      <c r="AP808" s="3"/>
    </row>
    <row r="809" customFormat="false" ht="15" hidden="false" customHeight="false" outlineLevel="0" collapsed="false">
      <c r="A809" s="2"/>
      <c r="K809" s="3"/>
      <c r="M809" s="3"/>
      <c r="Q809" s="3"/>
      <c r="AD809" s="3"/>
      <c r="AP809" s="3"/>
    </row>
    <row r="810" customFormat="false" ht="15" hidden="false" customHeight="false" outlineLevel="0" collapsed="false">
      <c r="A810" s="2"/>
      <c r="K810" s="3"/>
      <c r="M810" s="3"/>
      <c r="Q810" s="3"/>
      <c r="AD810" s="3"/>
      <c r="AP810" s="3"/>
    </row>
    <row r="811" customFormat="false" ht="15" hidden="false" customHeight="false" outlineLevel="0" collapsed="false">
      <c r="A811" s="2"/>
      <c r="K811" s="3"/>
      <c r="M811" s="3"/>
      <c r="Q811" s="3"/>
      <c r="AD811" s="3"/>
      <c r="AP811" s="3"/>
    </row>
    <row r="812" customFormat="false" ht="15" hidden="false" customHeight="false" outlineLevel="0" collapsed="false">
      <c r="A812" s="2"/>
      <c r="K812" s="3"/>
      <c r="M812" s="3"/>
      <c r="Q812" s="3"/>
      <c r="AD812" s="3"/>
      <c r="AP812" s="3"/>
    </row>
    <row r="813" customFormat="false" ht="15" hidden="false" customHeight="false" outlineLevel="0" collapsed="false">
      <c r="A813" s="2"/>
      <c r="K813" s="3"/>
      <c r="M813" s="3"/>
      <c r="Q813" s="3"/>
      <c r="AD813" s="3"/>
      <c r="AP813" s="3"/>
    </row>
    <row r="814" customFormat="false" ht="15" hidden="false" customHeight="false" outlineLevel="0" collapsed="false">
      <c r="A814" s="2"/>
      <c r="K814" s="3"/>
      <c r="M814" s="3"/>
      <c r="Q814" s="3"/>
      <c r="AD814" s="3"/>
      <c r="AP814" s="3"/>
    </row>
    <row r="815" customFormat="false" ht="15" hidden="false" customHeight="false" outlineLevel="0" collapsed="false">
      <c r="A815" s="2"/>
      <c r="K815" s="3"/>
      <c r="M815" s="3"/>
      <c r="Q815" s="3"/>
      <c r="AD815" s="3"/>
      <c r="AP815" s="3"/>
    </row>
    <row r="816" customFormat="false" ht="15" hidden="false" customHeight="false" outlineLevel="0" collapsed="false">
      <c r="A816" s="2"/>
      <c r="K816" s="3"/>
      <c r="M816" s="3"/>
      <c r="Q816" s="3"/>
      <c r="AD816" s="3"/>
      <c r="AP816" s="3"/>
    </row>
    <row r="817" customFormat="false" ht="15" hidden="false" customHeight="false" outlineLevel="0" collapsed="false">
      <c r="A817" s="2"/>
      <c r="K817" s="3"/>
      <c r="M817" s="3"/>
      <c r="Q817" s="3"/>
      <c r="AD817" s="3"/>
      <c r="AP817" s="3"/>
    </row>
    <row r="818" customFormat="false" ht="15" hidden="false" customHeight="false" outlineLevel="0" collapsed="false">
      <c r="A818" s="2"/>
      <c r="K818" s="3"/>
      <c r="M818" s="3"/>
      <c r="Q818" s="3"/>
      <c r="AD818" s="3"/>
      <c r="AP818" s="3"/>
    </row>
    <row r="819" customFormat="false" ht="15" hidden="false" customHeight="false" outlineLevel="0" collapsed="false">
      <c r="A819" s="2"/>
      <c r="K819" s="3"/>
      <c r="M819" s="3"/>
      <c r="Q819" s="3"/>
      <c r="AD819" s="3"/>
      <c r="AP819" s="3"/>
    </row>
    <row r="820" customFormat="false" ht="15" hidden="false" customHeight="false" outlineLevel="0" collapsed="false">
      <c r="A820" s="2"/>
      <c r="K820" s="3"/>
      <c r="M820" s="3"/>
      <c r="Q820" s="3"/>
      <c r="AD820" s="3"/>
      <c r="AP820" s="3"/>
    </row>
    <row r="821" customFormat="false" ht="15" hidden="false" customHeight="false" outlineLevel="0" collapsed="false">
      <c r="A821" s="2"/>
      <c r="K821" s="3"/>
      <c r="M821" s="3"/>
      <c r="Q821" s="3"/>
      <c r="AD821" s="3"/>
      <c r="AP821" s="3"/>
    </row>
    <row r="822" customFormat="false" ht="15" hidden="false" customHeight="false" outlineLevel="0" collapsed="false">
      <c r="A822" s="2"/>
      <c r="K822" s="3"/>
      <c r="M822" s="3"/>
      <c r="Q822" s="3"/>
      <c r="AD822" s="3"/>
      <c r="AP822" s="3"/>
    </row>
    <row r="823" customFormat="false" ht="15" hidden="false" customHeight="false" outlineLevel="0" collapsed="false">
      <c r="A823" s="2"/>
      <c r="K823" s="3"/>
      <c r="M823" s="3"/>
      <c r="Q823" s="3"/>
      <c r="AD823" s="3"/>
      <c r="AP823" s="3"/>
    </row>
    <row r="824" customFormat="false" ht="15" hidden="false" customHeight="false" outlineLevel="0" collapsed="false">
      <c r="A824" s="2"/>
      <c r="K824" s="3"/>
      <c r="M824" s="3"/>
      <c r="Q824" s="3"/>
      <c r="AD824" s="3"/>
      <c r="AP824" s="3"/>
    </row>
    <row r="825" customFormat="false" ht="15" hidden="false" customHeight="false" outlineLevel="0" collapsed="false">
      <c r="A825" s="2"/>
      <c r="K825" s="3"/>
      <c r="M825" s="3"/>
      <c r="Q825" s="3"/>
      <c r="AD825" s="3"/>
      <c r="AP825" s="3"/>
    </row>
    <row r="826" customFormat="false" ht="15" hidden="false" customHeight="false" outlineLevel="0" collapsed="false">
      <c r="A826" s="2"/>
      <c r="K826" s="3"/>
      <c r="M826" s="3"/>
      <c r="Q826" s="3"/>
      <c r="AD826" s="3"/>
      <c r="AP826" s="3"/>
    </row>
    <row r="827" customFormat="false" ht="15" hidden="false" customHeight="false" outlineLevel="0" collapsed="false">
      <c r="A827" s="2"/>
      <c r="K827" s="3"/>
      <c r="M827" s="3"/>
      <c r="Q827" s="3"/>
      <c r="AD827" s="3"/>
      <c r="AP827" s="3"/>
    </row>
    <row r="828" customFormat="false" ht="15" hidden="false" customHeight="false" outlineLevel="0" collapsed="false">
      <c r="A828" s="2"/>
      <c r="K828" s="3"/>
      <c r="M828" s="3"/>
      <c r="Q828" s="3"/>
      <c r="AD828" s="3"/>
      <c r="AP828" s="3"/>
    </row>
    <row r="829" customFormat="false" ht="15" hidden="false" customHeight="false" outlineLevel="0" collapsed="false">
      <c r="A829" s="2"/>
      <c r="K829" s="3"/>
      <c r="M829" s="3"/>
      <c r="Q829" s="3"/>
      <c r="AD829" s="3"/>
      <c r="AP829" s="3"/>
    </row>
    <row r="830" customFormat="false" ht="15" hidden="false" customHeight="false" outlineLevel="0" collapsed="false">
      <c r="A830" s="2"/>
      <c r="K830" s="3"/>
      <c r="M830" s="3"/>
      <c r="Q830" s="3"/>
      <c r="AD830" s="3"/>
      <c r="AP830" s="3"/>
    </row>
    <row r="831" customFormat="false" ht="15" hidden="false" customHeight="false" outlineLevel="0" collapsed="false">
      <c r="A831" s="2"/>
      <c r="K831" s="3"/>
      <c r="M831" s="3"/>
      <c r="Q831" s="3"/>
      <c r="AD831" s="3"/>
      <c r="AP831" s="3"/>
    </row>
    <row r="832" customFormat="false" ht="15" hidden="false" customHeight="false" outlineLevel="0" collapsed="false">
      <c r="A832" s="2"/>
      <c r="K832" s="3"/>
      <c r="M832" s="3"/>
      <c r="Q832" s="3"/>
      <c r="AD832" s="3"/>
      <c r="AP832" s="3"/>
    </row>
    <row r="833" customFormat="false" ht="15" hidden="false" customHeight="false" outlineLevel="0" collapsed="false">
      <c r="A833" s="2"/>
      <c r="K833" s="3"/>
      <c r="M833" s="3"/>
      <c r="Q833" s="3"/>
      <c r="AD833" s="3"/>
      <c r="AP833" s="3"/>
    </row>
    <row r="834" customFormat="false" ht="15" hidden="false" customHeight="false" outlineLevel="0" collapsed="false">
      <c r="A834" s="2"/>
      <c r="K834" s="3"/>
      <c r="M834" s="3"/>
      <c r="Q834" s="3"/>
      <c r="AD834" s="3"/>
      <c r="AP834" s="3"/>
    </row>
    <row r="835" customFormat="false" ht="15" hidden="false" customHeight="false" outlineLevel="0" collapsed="false">
      <c r="A835" s="2"/>
      <c r="K835" s="3"/>
      <c r="M835" s="3"/>
      <c r="Q835" s="3"/>
      <c r="AD835" s="3"/>
      <c r="AP835" s="3"/>
    </row>
    <row r="836" customFormat="false" ht="15" hidden="false" customHeight="false" outlineLevel="0" collapsed="false">
      <c r="A836" s="2"/>
      <c r="K836" s="3"/>
      <c r="M836" s="3"/>
      <c r="Q836" s="3"/>
      <c r="AD836" s="3"/>
      <c r="AP836" s="3"/>
    </row>
    <row r="837" customFormat="false" ht="15" hidden="false" customHeight="false" outlineLevel="0" collapsed="false">
      <c r="A837" s="2"/>
      <c r="K837" s="3"/>
      <c r="M837" s="3"/>
      <c r="Q837" s="3"/>
      <c r="AD837" s="3"/>
      <c r="AP837" s="3"/>
    </row>
    <row r="838" customFormat="false" ht="15" hidden="false" customHeight="false" outlineLevel="0" collapsed="false">
      <c r="A838" s="2"/>
      <c r="K838" s="3"/>
      <c r="M838" s="3"/>
      <c r="Q838" s="3"/>
      <c r="AD838" s="3"/>
      <c r="AP838" s="3"/>
    </row>
    <row r="839" customFormat="false" ht="15" hidden="false" customHeight="false" outlineLevel="0" collapsed="false">
      <c r="A839" s="2"/>
      <c r="K839" s="3"/>
      <c r="M839" s="3"/>
      <c r="Q839" s="3"/>
      <c r="AD839" s="3"/>
      <c r="AP839" s="3"/>
    </row>
    <row r="840" customFormat="false" ht="15" hidden="false" customHeight="false" outlineLevel="0" collapsed="false">
      <c r="A840" s="2"/>
      <c r="K840" s="3"/>
      <c r="M840" s="3"/>
      <c r="Q840" s="3"/>
      <c r="AD840" s="3"/>
      <c r="AP840" s="3"/>
    </row>
    <row r="841" customFormat="false" ht="15" hidden="false" customHeight="false" outlineLevel="0" collapsed="false">
      <c r="A841" s="2"/>
      <c r="K841" s="3"/>
      <c r="M841" s="3"/>
      <c r="Q841" s="3"/>
      <c r="AD841" s="3"/>
      <c r="AP841" s="3"/>
    </row>
    <row r="842" customFormat="false" ht="15" hidden="false" customHeight="false" outlineLevel="0" collapsed="false">
      <c r="A842" s="2"/>
      <c r="K842" s="3"/>
      <c r="M842" s="3"/>
      <c r="Q842" s="3"/>
      <c r="AD842" s="3"/>
      <c r="AP842" s="3"/>
    </row>
    <row r="843" customFormat="false" ht="15" hidden="false" customHeight="false" outlineLevel="0" collapsed="false">
      <c r="A843" s="2"/>
      <c r="K843" s="3"/>
      <c r="M843" s="3"/>
      <c r="Q843" s="3"/>
      <c r="AD843" s="3"/>
      <c r="AP843" s="3"/>
    </row>
    <row r="844" customFormat="false" ht="15" hidden="false" customHeight="false" outlineLevel="0" collapsed="false">
      <c r="A844" s="2"/>
      <c r="K844" s="3"/>
      <c r="M844" s="3"/>
      <c r="Q844" s="3"/>
      <c r="AD844" s="3"/>
      <c r="AP844" s="3"/>
    </row>
    <row r="845" customFormat="false" ht="15" hidden="false" customHeight="false" outlineLevel="0" collapsed="false">
      <c r="A845" s="2"/>
      <c r="K845" s="3"/>
      <c r="M845" s="3"/>
      <c r="Q845" s="3"/>
      <c r="AD845" s="3"/>
      <c r="AP845" s="3"/>
    </row>
    <row r="846" customFormat="false" ht="15" hidden="false" customHeight="false" outlineLevel="0" collapsed="false">
      <c r="A846" s="2"/>
      <c r="K846" s="3"/>
      <c r="M846" s="3"/>
      <c r="Q846" s="3"/>
      <c r="AD846" s="3"/>
      <c r="AP846" s="3"/>
    </row>
    <row r="847" customFormat="false" ht="15" hidden="false" customHeight="false" outlineLevel="0" collapsed="false">
      <c r="A847" s="2"/>
      <c r="K847" s="3"/>
      <c r="M847" s="3"/>
      <c r="Q847" s="3"/>
      <c r="AD847" s="3"/>
      <c r="AP847" s="3"/>
    </row>
    <row r="848" customFormat="false" ht="15" hidden="false" customHeight="false" outlineLevel="0" collapsed="false">
      <c r="A848" s="2"/>
      <c r="K848" s="3"/>
      <c r="M848" s="3"/>
      <c r="Q848" s="3"/>
      <c r="AD848" s="3"/>
      <c r="AP848" s="3"/>
    </row>
    <row r="849" customFormat="false" ht="15" hidden="false" customHeight="false" outlineLevel="0" collapsed="false">
      <c r="A849" s="2"/>
      <c r="K849" s="3"/>
      <c r="M849" s="3"/>
      <c r="Q849" s="3"/>
      <c r="AD849" s="3"/>
      <c r="AP849" s="3"/>
    </row>
    <row r="850" customFormat="false" ht="15" hidden="false" customHeight="false" outlineLevel="0" collapsed="false">
      <c r="A850" s="2"/>
      <c r="K850" s="3"/>
      <c r="M850" s="3"/>
      <c r="Q850" s="3"/>
      <c r="AD850" s="3"/>
      <c r="AP850" s="3"/>
    </row>
    <row r="851" customFormat="false" ht="15" hidden="false" customHeight="false" outlineLevel="0" collapsed="false">
      <c r="A851" s="2"/>
      <c r="K851" s="3"/>
      <c r="M851" s="3"/>
      <c r="Q851" s="3"/>
      <c r="AD851" s="3"/>
      <c r="AP851" s="3"/>
    </row>
    <row r="852" customFormat="false" ht="15" hidden="false" customHeight="false" outlineLevel="0" collapsed="false">
      <c r="A852" s="2"/>
      <c r="K852" s="3"/>
      <c r="M852" s="3"/>
      <c r="Q852" s="3"/>
      <c r="AD852" s="3"/>
      <c r="AP852" s="3"/>
    </row>
    <row r="853" customFormat="false" ht="15" hidden="false" customHeight="false" outlineLevel="0" collapsed="false">
      <c r="A853" s="2"/>
      <c r="K853" s="3"/>
      <c r="M853" s="3"/>
      <c r="Q853" s="3"/>
      <c r="AD853" s="3"/>
      <c r="AP853" s="3"/>
    </row>
    <row r="854" customFormat="false" ht="15" hidden="false" customHeight="false" outlineLevel="0" collapsed="false">
      <c r="A854" s="2"/>
      <c r="K854" s="3"/>
      <c r="M854" s="3"/>
      <c r="Q854" s="3"/>
      <c r="AD854" s="3"/>
      <c r="AP854" s="3"/>
    </row>
    <row r="855" customFormat="false" ht="15" hidden="false" customHeight="false" outlineLevel="0" collapsed="false">
      <c r="A855" s="2"/>
      <c r="K855" s="3"/>
      <c r="M855" s="3"/>
      <c r="Q855" s="3"/>
      <c r="AD855" s="3"/>
      <c r="AP855" s="3"/>
    </row>
    <row r="856" customFormat="false" ht="15" hidden="false" customHeight="false" outlineLevel="0" collapsed="false">
      <c r="A856" s="2"/>
      <c r="K856" s="3"/>
      <c r="M856" s="3"/>
      <c r="Q856" s="3"/>
      <c r="AD856" s="3"/>
      <c r="AP856" s="3"/>
    </row>
    <row r="857" customFormat="false" ht="15" hidden="false" customHeight="false" outlineLevel="0" collapsed="false">
      <c r="A857" s="2"/>
      <c r="K857" s="3"/>
      <c r="M857" s="3"/>
      <c r="Q857" s="3"/>
      <c r="AD857" s="3"/>
      <c r="AP857" s="3"/>
    </row>
    <row r="858" customFormat="false" ht="15" hidden="false" customHeight="false" outlineLevel="0" collapsed="false">
      <c r="A858" s="2"/>
      <c r="K858" s="3"/>
      <c r="M858" s="3"/>
      <c r="Q858" s="3"/>
      <c r="AD858" s="3"/>
      <c r="AP858" s="3"/>
    </row>
    <row r="859" customFormat="false" ht="15" hidden="false" customHeight="false" outlineLevel="0" collapsed="false">
      <c r="A859" s="2"/>
      <c r="K859" s="3"/>
      <c r="M859" s="3"/>
      <c r="Q859" s="3"/>
      <c r="AD859" s="3"/>
      <c r="AP859" s="3"/>
    </row>
    <row r="860" customFormat="false" ht="15" hidden="false" customHeight="false" outlineLevel="0" collapsed="false">
      <c r="A860" s="2"/>
      <c r="K860" s="3"/>
      <c r="M860" s="3"/>
      <c r="Q860" s="3"/>
      <c r="AD860" s="3"/>
      <c r="AP860" s="3"/>
    </row>
    <row r="861" customFormat="false" ht="15" hidden="false" customHeight="false" outlineLevel="0" collapsed="false">
      <c r="A861" s="2"/>
      <c r="K861" s="3"/>
      <c r="M861" s="3"/>
      <c r="Q861" s="3"/>
      <c r="AD861" s="3"/>
      <c r="AP861" s="3"/>
    </row>
    <row r="862" customFormat="false" ht="15" hidden="false" customHeight="false" outlineLevel="0" collapsed="false">
      <c r="A862" s="2"/>
      <c r="K862" s="3"/>
      <c r="M862" s="3"/>
      <c r="Q862" s="3"/>
      <c r="AD862" s="3"/>
      <c r="AP862" s="3"/>
    </row>
    <row r="863" customFormat="false" ht="15" hidden="false" customHeight="false" outlineLevel="0" collapsed="false">
      <c r="A863" s="2"/>
      <c r="K863" s="3"/>
      <c r="M863" s="3"/>
      <c r="Q863" s="3"/>
      <c r="AD863" s="3"/>
      <c r="AP863" s="3"/>
    </row>
    <row r="864" customFormat="false" ht="15" hidden="false" customHeight="false" outlineLevel="0" collapsed="false">
      <c r="A864" s="2"/>
      <c r="K864" s="3"/>
      <c r="M864" s="3"/>
      <c r="Q864" s="3"/>
      <c r="AD864" s="3"/>
      <c r="AP864" s="3"/>
    </row>
    <row r="865" customFormat="false" ht="15" hidden="false" customHeight="false" outlineLevel="0" collapsed="false">
      <c r="A865" s="2"/>
      <c r="K865" s="3"/>
      <c r="M865" s="3"/>
      <c r="Q865" s="3"/>
      <c r="AD865" s="3"/>
      <c r="AP865" s="3"/>
    </row>
    <row r="866" customFormat="false" ht="15" hidden="false" customHeight="false" outlineLevel="0" collapsed="false">
      <c r="A866" s="2"/>
      <c r="K866" s="3"/>
      <c r="M866" s="3"/>
      <c r="Q866" s="3"/>
      <c r="AD866" s="3"/>
      <c r="AP866" s="3"/>
    </row>
    <row r="867" customFormat="false" ht="15" hidden="false" customHeight="false" outlineLevel="0" collapsed="false">
      <c r="A867" s="2"/>
      <c r="K867" s="3"/>
      <c r="M867" s="3"/>
      <c r="Q867" s="3"/>
      <c r="AD867" s="3"/>
      <c r="AP867" s="3"/>
    </row>
    <row r="868" customFormat="false" ht="15" hidden="false" customHeight="false" outlineLevel="0" collapsed="false">
      <c r="A868" s="2"/>
      <c r="K868" s="3"/>
      <c r="M868" s="3"/>
      <c r="Q868" s="3"/>
      <c r="AD868" s="3"/>
      <c r="AP868" s="3"/>
    </row>
    <row r="869" customFormat="false" ht="15" hidden="false" customHeight="false" outlineLevel="0" collapsed="false">
      <c r="A869" s="2"/>
      <c r="K869" s="3"/>
      <c r="M869" s="3"/>
      <c r="Q869" s="3"/>
      <c r="AD869" s="3"/>
      <c r="AP869" s="3"/>
    </row>
    <row r="870" customFormat="false" ht="15" hidden="false" customHeight="false" outlineLevel="0" collapsed="false">
      <c r="A870" s="2"/>
      <c r="K870" s="3"/>
      <c r="M870" s="3"/>
      <c r="Q870" s="3"/>
      <c r="AD870" s="3"/>
      <c r="AP870" s="3"/>
    </row>
    <row r="871" customFormat="false" ht="15" hidden="false" customHeight="false" outlineLevel="0" collapsed="false">
      <c r="A871" s="2"/>
      <c r="K871" s="3"/>
      <c r="M871" s="3"/>
      <c r="Q871" s="3"/>
      <c r="AD871" s="3"/>
      <c r="AP871" s="3"/>
    </row>
    <row r="872" customFormat="false" ht="15" hidden="false" customHeight="false" outlineLevel="0" collapsed="false">
      <c r="A872" s="2"/>
      <c r="K872" s="3"/>
      <c r="M872" s="3"/>
      <c r="Q872" s="3"/>
      <c r="AD872" s="3"/>
      <c r="AP872" s="3"/>
    </row>
    <row r="873" customFormat="false" ht="15" hidden="false" customHeight="false" outlineLevel="0" collapsed="false">
      <c r="A873" s="2"/>
      <c r="K873" s="3"/>
      <c r="M873" s="3"/>
      <c r="Q873" s="3"/>
      <c r="AD873" s="3"/>
      <c r="AP873" s="3"/>
    </row>
    <row r="874" customFormat="false" ht="15" hidden="false" customHeight="false" outlineLevel="0" collapsed="false">
      <c r="A874" s="2"/>
      <c r="K874" s="3"/>
      <c r="M874" s="3"/>
      <c r="Q874" s="3"/>
      <c r="AD874" s="3"/>
      <c r="AP874" s="3"/>
    </row>
    <row r="875" customFormat="false" ht="15" hidden="false" customHeight="false" outlineLevel="0" collapsed="false">
      <c r="A875" s="2"/>
      <c r="K875" s="3"/>
      <c r="M875" s="3"/>
      <c r="Q875" s="3"/>
      <c r="AD875" s="3"/>
      <c r="AP875" s="3"/>
    </row>
    <row r="876" customFormat="false" ht="15" hidden="false" customHeight="false" outlineLevel="0" collapsed="false">
      <c r="A876" s="2"/>
      <c r="K876" s="3"/>
      <c r="M876" s="3"/>
      <c r="Q876" s="3"/>
      <c r="AD876" s="3"/>
      <c r="AP876" s="3"/>
    </row>
    <row r="877" customFormat="false" ht="15" hidden="false" customHeight="false" outlineLevel="0" collapsed="false">
      <c r="A877" s="2"/>
      <c r="K877" s="3"/>
      <c r="M877" s="3"/>
      <c r="Q877" s="3"/>
      <c r="AD877" s="3"/>
      <c r="AP877" s="3"/>
    </row>
    <row r="878" customFormat="false" ht="15" hidden="false" customHeight="false" outlineLevel="0" collapsed="false">
      <c r="A878" s="2"/>
      <c r="K878" s="3"/>
      <c r="M878" s="3"/>
      <c r="Q878" s="3"/>
      <c r="AD878" s="3"/>
      <c r="AP878" s="3"/>
    </row>
    <row r="879" customFormat="false" ht="15" hidden="false" customHeight="false" outlineLevel="0" collapsed="false">
      <c r="A879" s="2"/>
      <c r="K879" s="3"/>
      <c r="M879" s="3"/>
      <c r="Q879" s="3"/>
      <c r="AD879" s="3"/>
      <c r="AP879" s="3"/>
    </row>
    <row r="880" customFormat="false" ht="15" hidden="false" customHeight="false" outlineLevel="0" collapsed="false">
      <c r="A880" s="2"/>
      <c r="K880" s="3"/>
      <c r="M880" s="3"/>
      <c r="Q880" s="3"/>
      <c r="AD880" s="3"/>
      <c r="AP880" s="3"/>
    </row>
    <row r="881" customFormat="false" ht="15" hidden="false" customHeight="false" outlineLevel="0" collapsed="false">
      <c r="A881" s="2"/>
      <c r="K881" s="3"/>
      <c r="M881" s="3"/>
      <c r="Q881" s="3"/>
      <c r="AD881" s="3"/>
      <c r="AP881" s="3"/>
    </row>
    <row r="882" customFormat="false" ht="15" hidden="false" customHeight="false" outlineLevel="0" collapsed="false">
      <c r="A882" s="2"/>
      <c r="K882" s="3"/>
      <c r="M882" s="3"/>
      <c r="Q882" s="3"/>
      <c r="AD882" s="3"/>
      <c r="AP882" s="3"/>
    </row>
    <row r="883" customFormat="false" ht="15" hidden="false" customHeight="false" outlineLevel="0" collapsed="false">
      <c r="A883" s="2"/>
      <c r="K883" s="3"/>
      <c r="M883" s="3"/>
      <c r="Q883" s="3"/>
      <c r="AD883" s="3"/>
      <c r="AP883" s="3"/>
    </row>
    <row r="884" customFormat="false" ht="15" hidden="false" customHeight="false" outlineLevel="0" collapsed="false">
      <c r="A884" s="2"/>
      <c r="K884" s="3"/>
      <c r="M884" s="3"/>
      <c r="Q884" s="3"/>
      <c r="AD884" s="3"/>
      <c r="AP884" s="3"/>
    </row>
    <row r="885" customFormat="false" ht="15" hidden="false" customHeight="false" outlineLevel="0" collapsed="false">
      <c r="A885" s="2"/>
      <c r="K885" s="3"/>
      <c r="M885" s="3"/>
      <c r="Q885" s="3"/>
      <c r="AD885" s="3"/>
      <c r="AP885" s="3"/>
    </row>
    <row r="886" customFormat="false" ht="15" hidden="false" customHeight="false" outlineLevel="0" collapsed="false">
      <c r="A886" s="2"/>
      <c r="K886" s="3"/>
      <c r="M886" s="3"/>
      <c r="Q886" s="3"/>
      <c r="AD886" s="3"/>
      <c r="AP886" s="3"/>
    </row>
    <row r="887" customFormat="false" ht="15" hidden="false" customHeight="false" outlineLevel="0" collapsed="false">
      <c r="A887" s="2"/>
      <c r="K887" s="3"/>
      <c r="M887" s="3"/>
      <c r="Q887" s="3"/>
      <c r="AD887" s="3"/>
      <c r="AP887" s="3"/>
    </row>
    <row r="888" customFormat="false" ht="15" hidden="false" customHeight="false" outlineLevel="0" collapsed="false">
      <c r="A888" s="2"/>
      <c r="K888" s="3"/>
      <c r="M888" s="3"/>
      <c r="Q888" s="3"/>
      <c r="AD888" s="3"/>
      <c r="AP888" s="3"/>
    </row>
    <row r="889" customFormat="false" ht="15" hidden="false" customHeight="false" outlineLevel="0" collapsed="false">
      <c r="A889" s="2"/>
      <c r="K889" s="3"/>
      <c r="M889" s="3"/>
      <c r="Q889" s="3"/>
      <c r="AD889" s="3"/>
      <c r="AP889" s="3"/>
    </row>
    <row r="890" customFormat="false" ht="15" hidden="false" customHeight="false" outlineLevel="0" collapsed="false">
      <c r="A890" s="2"/>
      <c r="K890" s="3"/>
      <c r="M890" s="3"/>
      <c r="Q890" s="3"/>
      <c r="AD890" s="3"/>
      <c r="AP890" s="3"/>
    </row>
    <row r="891" customFormat="false" ht="15" hidden="false" customHeight="false" outlineLevel="0" collapsed="false">
      <c r="A891" s="2"/>
      <c r="K891" s="3"/>
      <c r="M891" s="3"/>
      <c r="Q891" s="3"/>
      <c r="AD891" s="3"/>
      <c r="AP891" s="3"/>
    </row>
    <row r="892" customFormat="false" ht="15" hidden="false" customHeight="false" outlineLevel="0" collapsed="false">
      <c r="A892" s="2"/>
      <c r="K892" s="3"/>
      <c r="M892" s="3"/>
      <c r="Q892" s="3"/>
      <c r="AD892" s="3"/>
      <c r="AP892" s="3"/>
    </row>
    <row r="893" customFormat="false" ht="15" hidden="false" customHeight="false" outlineLevel="0" collapsed="false">
      <c r="A893" s="2"/>
      <c r="K893" s="3"/>
      <c r="M893" s="3"/>
      <c r="Q893" s="3"/>
      <c r="AD893" s="3"/>
      <c r="AP893" s="3"/>
    </row>
    <row r="894" customFormat="false" ht="15" hidden="false" customHeight="false" outlineLevel="0" collapsed="false">
      <c r="A894" s="2"/>
      <c r="K894" s="3"/>
      <c r="M894" s="3"/>
      <c r="Q894" s="3"/>
      <c r="AD894" s="3"/>
      <c r="AP894" s="3"/>
    </row>
    <row r="895" customFormat="false" ht="15" hidden="false" customHeight="false" outlineLevel="0" collapsed="false">
      <c r="A895" s="2"/>
      <c r="K895" s="3"/>
      <c r="M895" s="3"/>
      <c r="Q895" s="3"/>
      <c r="AD895" s="3"/>
      <c r="AP895" s="3"/>
    </row>
    <row r="896" customFormat="false" ht="15" hidden="false" customHeight="false" outlineLevel="0" collapsed="false">
      <c r="A896" s="2"/>
      <c r="K896" s="3"/>
      <c r="M896" s="3"/>
      <c r="Q896" s="3"/>
      <c r="AD896" s="3"/>
      <c r="AP896" s="3"/>
    </row>
    <row r="897" customFormat="false" ht="15" hidden="false" customHeight="false" outlineLevel="0" collapsed="false">
      <c r="A897" s="2"/>
      <c r="K897" s="3"/>
      <c r="M897" s="3"/>
      <c r="Q897" s="3"/>
      <c r="AD897" s="3"/>
      <c r="AP897" s="3"/>
    </row>
    <row r="898" customFormat="false" ht="15" hidden="false" customHeight="false" outlineLevel="0" collapsed="false">
      <c r="A898" s="2"/>
      <c r="K898" s="3"/>
      <c r="M898" s="3"/>
      <c r="Q898" s="3"/>
      <c r="AD898" s="3"/>
      <c r="AP898" s="3"/>
    </row>
    <row r="899" customFormat="false" ht="15" hidden="false" customHeight="false" outlineLevel="0" collapsed="false">
      <c r="A899" s="2"/>
      <c r="K899" s="3"/>
      <c r="M899" s="3"/>
      <c r="Q899" s="3"/>
      <c r="AD899" s="3"/>
      <c r="AP899" s="3"/>
    </row>
    <row r="900" customFormat="false" ht="15" hidden="false" customHeight="false" outlineLevel="0" collapsed="false">
      <c r="A900" s="2"/>
      <c r="K900" s="3"/>
      <c r="M900" s="3"/>
      <c r="Q900" s="3"/>
      <c r="AD900" s="3"/>
      <c r="AP900" s="3"/>
    </row>
    <row r="901" customFormat="false" ht="15" hidden="false" customHeight="false" outlineLevel="0" collapsed="false">
      <c r="A901" s="2"/>
      <c r="K901" s="3"/>
      <c r="M901" s="3"/>
      <c r="Q901" s="3"/>
      <c r="AD901" s="3"/>
      <c r="AP901" s="3"/>
    </row>
    <row r="902" customFormat="false" ht="15" hidden="false" customHeight="false" outlineLevel="0" collapsed="false">
      <c r="A902" s="2"/>
      <c r="K902" s="3"/>
      <c r="M902" s="3"/>
      <c r="Q902" s="3"/>
      <c r="AD902" s="3"/>
      <c r="AP902" s="3"/>
    </row>
    <row r="903" customFormat="false" ht="15" hidden="false" customHeight="false" outlineLevel="0" collapsed="false">
      <c r="A903" s="2"/>
      <c r="K903" s="3"/>
      <c r="M903" s="3"/>
      <c r="Q903" s="3"/>
      <c r="AD903" s="3"/>
      <c r="AP903" s="3"/>
    </row>
    <row r="904" customFormat="false" ht="15" hidden="false" customHeight="false" outlineLevel="0" collapsed="false">
      <c r="A904" s="2"/>
      <c r="K904" s="3"/>
      <c r="M904" s="3"/>
      <c r="Q904" s="3"/>
      <c r="AD904" s="3"/>
      <c r="AP904" s="3"/>
    </row>
    <row r="905" customFormat="false" ht="15" hidden="false" customHeight="false" outlineLevel="0" collapsed="false">
      <c r="A905" s="2"/>
      <c r="K905" s="3"/>
      <c r="M905" s="3"/>
      <c r="Q905" s="3"/>
      <c r="AD905" s="3"/>
      <c r="AP905" s="3"/>
    </row>
    <row r="906" customFormat="false" ht="15" hidden="false" customHeight="false" outlineLevel="0" collapsed="false">
      <c r="A906" s="2"/>
      <c r="K906" s="3"/>
      <c r="M906" s="3"/>
      <c r="Q906" s="3"/>
      <c r="AD906" s="3"/>
      <c r="AP906" s="3"/>
    </row>
    <row r="907" customFormat="false" ht="15" hidden="false" customHeight="false" outlineLevel="0" collapsed="false">
      <c r="A907" s="2"/>
      <c r="K907" s="3"/>
      <c r="M907" s="3"/>
      <c r="Q907" s="3"/>
      <c r="AD907" s="3"/>
      <c r="AP907" s="3"/>
    </row>
    <row r="908" customFormat="false" ht="15" hidden="false" customHeight="false" outlineLevel="0" collapsed="false">
      <c r="A908" s="2"/>
      <c r="K908" s="3"/>
      <c r="M908" s="3"/>
      <c r="Q908" s="3"/>
      <c r="AD908" s="3"/>
      <c r="AP908" s="3"/>
    </row>
    <row r="909" customFormat="false" ht="15" hidden="false" customHeight="false" outlineLevel="0" collapsed="false">
      <c r="A909" s="2"/>
      <c r="K909" s="3"/>
      <c r="M909" s="3"/>
      <c r="Q909" s="3"/>
      <c r="AD909" s="3"/>
      <c r="AP909" s="3"/>
    </row>
    <row r="910" customFormat="false" ht="15" hidden="false" customHeight="false" outlineLevel="0" collapsed="false">
      <c r="A910" s="2"/>
      <c r="K910" s="3"/>
      <c r="M910" s="3"/>
      <c r="Q910" s="3"/>
      <c r="AD910" s="3"/>
      <c r="AP910" s="3"/>
    </row>
    <row r="911" customFormat="false" ht="15" hidden="false" customHeight="false" outlineLevel="0" collapsed="false">
      <c r="A911" s="2"/>
      <c r="K911" s="3"/>
      <c r="M911" s="3"/>
      <c r="Q911" s="3"/>
      <c r="AD911" s="3"/>
      <c r="AP911" s="3"/>
    </row>
    <row r="912" customFormat="false" ht="15" hidden="false" customHeight="false" outlineLevel="0" collapsed="false">
      <c r="A912" s="2"/>
      <c r="K912" s="3"/>
      <c r="M912" s="3"/>
      <c r="Q912" s="3"/>
      <c r="AD912" s="3"/>
      <c r="AP912" s="3"/>
    </row>
    <row r="913" customFormat="false" ht="15" hidden="false" customHeight="false" outlineLevel="0" collapsed="false">
      <c r="A913" s="2"/>
      <c r="K913" s="3"/>
      <c r="M913" s="3"/>
      <c r="Q913" s="3"/>
      <c r="AD913" s="3"/>
      <c r="AP913" s="3"/>
    </row>
    <row r="914" customFormat="false" ht="15" hidden="false" customHeight="false" outlineLevel="0" collapsed="false">
      <c r="A914" s="2"/>
      <c r="K914" s="3"/>
      <c r="M914" s="3"/>
      <c r="Q914" s="3"/>
      <c r="AD914" s="3"/>
      <c r="AP914" s="3"/>
    </row>
    <row r="915" customFormat="false" ht="15" hidden="false" customHeight="false" outlineLevel="0" collapsed="false">
      <c r="A915" s="2"/>
      <c r="K915" s="3"/>
      <c r="M915" s="3"/>
      <c r="Q915" s="3"/>
      <c r="AD915" s="3"/>
      <c r="AP915" s="3"/>
    </row>
    <row r="916" customFormat="false" ht="15" hidden="false" customHeight="false" outlineLevel="0" collapsed="false">
      <c r="A916" s="2"/>
      <c r="K916" s="3"/>
      <c r="M916" s="3"/>
      <c r="Q916" s="3"/>
      <c r="AD916" s="3"/>
      <c r="AP916" s="3"/>
    </row>
    <row r="917" customFormat="false" ht="15" hidden="false" customHeight="false" outlineLevel="0" collapsed="false">
      <c r="A917" s="2"/>
      <c r="K917" s="3"/>
      <c r="M917" s="3"/>
      <c r="Q917" s="3"/>
      <c r="AD917" s="3"/>
      <c r="AP917" s="3"/>
    </row>
    <row r="918" customFormat="false" ht="15" hidden="false" customHeight="false" outlineLevel="0" collapsed="false">
      <c r="A918" s="2"/>
      <c r="K918" s="3"/>
      <c r="M918" s="3"/>
      <c r="Q918" s="3"/>
      <c r="AD918" s="3"/>
      <c r="AP918" s="3"/>
    </row>
    <row r="919" customFormat="false" ht="15" hidden="false" customHeight="false" outlineLevel="0" collapsed="false">
      <c r="A919" s="2"/>
      <c r="K919" s="3"/>
      <c r="M919" s="3"/>
      <c r="Q919" s="3"/>
      <c r="AD919" s="3"/>
      <c r="AP919" s="3"/>
    </row>
    <row r="920" customFormat="false" ht="15" hidden="false" customHeight="false" outlineLevel="0" collapsed="false">
      <c r="A920" s="2"/>
      <c r="K920" s="3"/>
      <c r="M920" s="3"/>
      <c r="Q920" s="3"/>
      <c r="AD920" s="3"/>
      <c r="AP920" s="3"/>
    </row>
    <row r="921" customFormat="false" ht="15" hidden="false" customHeight="false" outlineLevel="0" collapsed="false">
      <c r="A921" s="2"/>
      <c r="K921" s="3"/>
      <c r="M921" s="3"/>
      <c r="Q921" s="3"/>
      <c r="AD921" s="3"/>
      <c r="AP921" s="3"/>
    </row>
    <row r="922" customFormat="false" ht="15" hidden="false" customHeight="false" outlineLevel="0" collapsed="false">
      <c r="A922" s="2"/>
      <c r="K922" s="3"/>
      <c r="M922" s="3"/>
      <c r="Q922" s="3"/>
      <c r="AD922" s="3"/>
      <c r="AP922" s="3"/>
    </row>
    <row r="923" customFormat="false" ht="15" hidden="false" customHeight="false" outlineLevel="0" collapsed="false">
      <c r="A923" s="2"/>
      <c r="K923" s="3"/>
      <c r="M923" s="3"/>
      <c r="Q923" s="3"/>
      <c r="AD923" s="3"/>
      <c r="AP923" s="3"/>
    </row>
    <row r="924" customFormat="false" ht="15" hidden="false" customHeight="false" outlineLevel="0" collapsed="false">
      <c r="A924" s="2"/>
      <c r="K924" s="3"/>
      <c r="M924" s="3"/>
      <c r="Q924" s="3"/>
      <c r="AD924" s="3"/>
      <c r="AP924" s="3"/>
    </row>
    <row r="925" customFormat="false" ht="15" hidden="false" customHeight="false" outlineLevel="0" collapsed="false">
      <c r="A925" s="2"/>
      <c r="K925" s="3"/>
      <c r="M925" s="3"/>
      <c r="Q925" s="3"/>
      <c r="AD925" s="3"/>
      <c r="AP925" s="3"/>
    </row>
    <row r="926" customFormat="false" ht="15" hidden="false" customHeight="false" outlineLevel="0" collapsed="false">
      <c r="A926" s="2"/>
      <c r="K926" s="3"/>
      <c r="M926" s="3"/>
      <c r="Q926" s="3"/>
      <c r="AD926" s="3"/>
      <c r="AP926" s="3"/>
    </row>
    <row r="927" customFormat="false" ht="15" hidden="false" customHeight="false" outlineLevel="0" collapsed="false">
      <c r="A927" s="2"/>
      <c r="K927" s="3"/>
      <c r="M927" s="3"/>
      <c r="Q927" s="3"/>
      <c r="AD927" s="3"/>
      <c r="AP927" s="3"/>
    </row>
    <row r="928" customFormat="false" ht="15" hidden="false" customHeight="false" outlineLevel="0" collapsed="false">
      <c r="A928" s="2"/>
      <c r="K928" s="3"/>
      <c r="M928" s="3"/>
      <c r="Q928" s="3"/>
      <c r="AD928" s="3"/>
      <c r="AP928" s="3"/>
    </row>
    <row r="929" customFormat="false" ht="15" hidden="false" customHeight="false" outlineLevel="0" collapsed="false">
      <c r="A929" s="2"/>
      <c r="K929" s="3"/>
      <c r="M929" s="3"/>
      <c r="Q929" s="3"/>
      <c r="AD929" s="3"/>
      <c r="AP929" s="3"/>
    </row>
    <row r="930" customFormat="false" ht="15" hidden="false" customHeight="false" outlineLevel="0" collapsed="false">
      <c r="A930" s="2"/>
      <c r="K930" s="3"/>
      <c r="M930" s="3"/>
      <c r="Q930" s="3"/>
      <c r="AD930" s="3"/>
      <c r="AP930" s="3"/>
    </row>
    <row r="931" customFormat="false" ht="15" hidden="false" customHeight="false" outlineLevel="0" collapsed="false">
      <c r="A931" s="2"/>
      <c r="K931" s="3"/>
      <c r="M931" s="3"/>
      <c r="Q931" s="3"/>
      <c r="AD931" s="3"/>
      <c r="AP931" s="3"/>
    </row>
    <row r="932" customFormat="false" ht="15" hidden="false" customHeight="false" outlineLevel="0" collapsed="false">
      <c r="A932" s="2"/>
      <c r="K932" s="3"/>
      <c r="M932" s="3"/>
      <c r="Q932" s="3"/>
      <c r="AD932" s="3"/>
      <c r="AP932" s="3"/>
    </row>
    <row r="933" customFormat="false" ht="15" hidden="false" customHeight="false" outlineLevel="0" collapsed="false">
      <c r="A933" s="2"/>
      <c r="K933" s="3"/>
      <c r="M933" s="3"/>
      <c r="Q933" s="3"/>
      <c r="AD933" s="3"/>
      <c r="AP933" s="3"/>
    </row>
    <row r="934" customFormat="false" ht="15" hidden="false" customHeight="false" outlineLevel="0" collapsed="false">
      <c r="A934" s="2"/>
      <c r="K934" s="3"/>
      <c r="M934" s="3"/>
      <c r="Q934" s="3"/>
      <c r="AD934" s="3"/>
      <c r="AP934" s="3"/>
    </row>
    <row r="935" customFormat="false" ht="15" hidden="false" customHeight="false" outlineLevel="0" collapsed="false">
      <c r="A935" s="2"/>
      <c r="K935" s="3"/>
      <c r="M935" s="3"/>
      <c r="Q935" s="3"/>
      <c r="AD935" s="3"/>
      <c r="AP935" s="3"/>
    </row>
    <row r="936" customFormat="false" ht="15" hidden="false" customHeight="false" outlineLevel="0" collapsed="false">
      <c r="A936" s="2"/>
      <c r="K936" s="3"/>
      <c r="M936" s="3"/>
      <c r="Q936" s="3"/>
      <c r="AD936" s="3"/>
      <c r="AP936" s="3"/>
    </row>
    <row r="937" customFormat="false" ht="15" hidden="false" customHeight="false" outlineLevel="0" collapsed="false">
      <c r="A937" s="2"/>
      <c r="K937" s="3"/>
      <c r="M937" s="3"/>
      <c r="Q937" s="3"/>
      <c r="AD937" s="3"/>
      <c r="AP937" s="3"/>
    </row>
    <row r="938" customFormat="false" ht="15" hidden="false" customHeight="false" outlineLevel="0" collapsed="false">
      <c r="A938" s="2"/>
      <c r="K938" s="3"/>
      <c r="M938" s="3"/>
      <c r="Q938" s="3"/>
      <c r="AD938" s="3"/>
      <c r="AP938" s="3"/>
    </row>
    <row r="939" customFormat="false" ht="15" hidden="false" customHeight="false" outlineLevel="0" collapsed="false">
      <c r="A939" s="2"/>
      <c r="K939" s="3"/>
      <c r="M939" s="3"/>
      <c r="Q939" s="3"/>
      <c r="AD939" s="3"/>
      <c r="AP939" s="3"/>
    </row>
    <row r="940" customFormat="false" ht="15" hidden="false" customHeight="false" outlineLevel="0" collapsed="false">
      <c r="A940" s="2"/>
      <c r="K940" s="3"/>
      <c r="M940" s="3"/>
      <c r="Q940" s="3"/>
      <c r="AD940" s="3"/>
      <c r="AP940" s="3"/>
    </row>
    <row r="941" customFormat="false" ht="15" hidden="false" customHeight="false" outlineLevel="0" collapsed="false">
      <c r="A941" s="2"/>
      <c r="K941" s="3"/>
      <c r="M941" s="3"/>
      <c r="Q941" s="3"/>
      <c r="AD941" s="3"/>
      <c r="AP941" s="3"/>
    </row>
    <row r="942" customFormat="false" ht="15" hidden="false" customHeight="false" outlineLevel="0" collapsed="false">
      <c r="A942" s="2"/>
      <c r="K942" s="3"/>
      <c r="M942" s="3"/>
      <c r="Q942" s="3"/>
      <c r="AD942" s="3"/>
      <c r="AP942" s="3"/>
    </row>
    <row r="943" customFormat="false" ht="15" hidden="false" customHeight="false" outlineLevel="0" collapsed="false">
      <c r="A943" s="2"/>
      <c r="K943" s="3"/>
      <c r="M943" s="3"/>
      <c r="Q943" s="3"/>
      <c r="AD943" s="3"/>
      <c r="AP943" s="3"/>
    </row>
    <row r="944" customFormat="false" ht="15" hidden="false" customHeight="false" outlineLevel="0" collapsed="false">
      <c r="A944" s="2"/>
      <c r="K944" s="3"/>
      <c r="M944" s="3"/>
      <c r="Q944" s="3"/>
      <c r="AD944" s="3"/>
      <c r="AP944" s="3"/>
    </row>
    <row r="945" customFormat="false" ht="15" hidden="false" customHeight="false" outlineLevel="0" collapsed="false">
      <c r="A945" s="2"/>
      <c r="K945" s="3"/>
      <c r="M945" s="3"/>
      <c r="Q945" s="3"/>
      <c r="AD945" s="3"/>
      <c r="AP945" s="3"/>
    </row>
    <row r="946" customFormat="false" ht="15" hidden="false" customHeight="false" outlineLevel="0" collapsed="false">
      <c r="A946" s="2"/>
      <c r="K946" s="3"/>
      <c r="M946" s="3"/>
      <c r="Q946" s="3"/>
      <c r="AD946" s="3"/>
      <c r="AP946" s="3"/>
    </row>
    <row r="947" customFormat="false" ht="15" hidden="false" customHeight="false" outlineLevel="0" collapsed="false">
      <c r="A947" s="2"/>
      <c r="K947" s="3"/>
      <c r="M947" s="3"/>
      <c r="Q947" s="3"/>
      <c r="AD947" s="3"/>
      <c r="AP947" s="3"/>
    </row>
    <row r="948" customFormat="false" ht="15" hidden="false" customHeight="false" outlineLevel="0" collapsed="false">
      <c r="A948" s="2"/>
      <c r="K948" s="3"/>
      <c r="M948" s="3"/>
      <c r="Q948" s="3"/>
      <c r="AD948" s="3"/>
      <c r="AP948" s="3"/>
    </row>
    <row r="949" customFormat="false" ht="15" hidden="false" customHeight="false" outlineLevel="0" collapsed="false">
      <c r="A949" s="2"/>
      <c r="K949" s="3"/>
      <c r="M949" s="3"/>
      <c r="Q949" s="3"/>
      <c r="AD949" s="3"/>
      <c r="AP949" s="3"/>
    </row>
    <row r="950" customFormat="false" ht="15" hidden="false" customHeight="false" outlineLevel="0" collapsed="false">
      <c r="A950" s="2"/>
      <c r="K950" s="3"/>
      <c r="M950" s="3"/>
      <c r="Q950" s="3"/>
      <c r="AD950" s="3"/>
      <c r="AP950" s="3"/>
    </row>
    <row r="951" customFormat="false" ht="15" hidden="false" customHeight="false" outlineLevel="0" collapsed="false">
      <c r="A951" s="2"/>
      <c r="K951" s="3"/>
      <c r="M951" s="3"/>
      <c r="Q951" s="3"/>
      <c r="AD951" s="3"/>
      <c r="AP951" s="3"/>
    </row>
    <row r="952" customFormat="false" ht="15" hidden="false" customHeight="false" outlineLevel="0" collapsed="false">
      <c r="A952" s="2"/>
      <c r="K952" s="3"/>
      <c r="M952" s="3"/>
      <c r="Q952" s="3"/>
      <c r="AD952" s="3"/>
      <c r="AP952" s="3"/>
    </row>
    <row r="953" customFormat="false" ht="15" hidden="false" customHeight="false" outlineLevel="0" collapsed="false">
      <c r="A953" s="2"/>
      <c r="K953" s="3"/>
      <c r="M953" s="3"/>
      <c r="Q953" s="3"/>
      <c r="AD953" s="3"/>
      <c r="AP953" s="3"/>
    </row>
    <row r="954" customFormat="false" ht="15" hidden="false" customHeight="false" outlineLevel="0" collapsed="false">
      <c r="A954" s="2"/>
      <c r="K954" s="3"/>
      <c r="M954" s="3"/>
      <c r="Q954" s="3"/>
      <c r="AD954" s="3"/>
      <c r="AP954" s="3"/>
    </row>
    <row r="955" customFormat="false" ht="15" hidden="false" customHeight="false" outlineLevel="0" collapsed="false">
      <c r="A955" s="2"/>
      <c r="K955" s="3"/>
      <c r="M955" s="3"/>
      <c r="Q955" s="3"/>
      <c r="AD955" s="3"/>
      <c r="AP955" s="3"/>
    </row>
    <row r="956" customFormat="false" ht="15" hidden="false" customHeight="false" outlineLevel="0" collapsed="false">
      <c r="A956" s="2"/>
      <c r="K956" s="3"/>
      <c r="M956" s="3"/>
      <c r="Q956" s="3"/>
      <c r="AD956" s="3"/>
      <c r="AP956" s="3"/>
    </row>
    <row r="957" customFormat="false" ht="15" hidden="false" customHeight="false" outlineLevel="0" collapsed="false">
      <c r="A957" s="2"/>
      <c r="K957" s="3"/>
      <c r="M957" s="3"/>
      <c r="Q957" s="3"/>
      <c r="AD957" s="3"/>
      <c r="AP957" s="3"/>
    </row>
    <row r="958" customFormat="false" ht="15" hidden="false" customHeight="false" outlineLevel="0" collapsed="false">
      <c r="A958" s="2"/>
      <c r="K958" s="3"/>
      <c r="M958" s="3"/>
      <c r="Q958" s="3"/>
      <c r="AD958" s="3"/>
      <c r="AP958" s="3"/>
    </row>
    <row r="959" customFormat="false" ht="15" hidden="false" customHeight="false" outlineLevel="0" collapsed="false">
      <c r="A959" s="2"/>
      <c r="K959" s="3"/>
      <c r="M959" s="3"/>
      <c r="Q959" s="3"/>
      <c r="AD959" s="3"/>
      <c r="AP959" s="3"/>
    </row>
    <row r="960" customFormat="false" ht="15" hidden="false" customHeight="false" outlineLevel="0" collapsed="false">
      <c r="A960" s="2"/>
      <c r="K960" s="3"/>
      <c r="M960" s="3"/>
      <c r="Q960" s="3"/>
      <c r="AD960" s="3"/>
      <c r="AP960" s="3"/>
    </row>
    <row r="961" customFormat="false" ht="15" hidden="false" customHeight="false" outlineLevel="0" collapsed="false">
      <c r="A961" s="2"/>
      <c r="K961" s="3"/>
      <c r="M961" s="3"/>
      <c r="Q961" s="3"/>
      <c r="AD961" s="3"/>
      <c r="AP961" s="3"/>
    </row>
    <row r="962" customFormat="false" ht="15" hidden="false" customHeight="false" outlineLevel="0" collapsed="false">
      <c r="A962" s="2"/>
      <c r="K962" s="3"/>
      <c r="M962" s="3"/>
      <c r="Q962" s="3"/>
      <c r="AD962" s="3"/>
      <c r="AP962" s="3"/>
    </row>
    <row r="963" customFormat="false" ht="15" hidden="false" customHeight="false" outlineLevel="0" collapsed="false">
      <c r="A963" s="2"/>
      <c r="K963" s="3"/>
      <c r="M963" s="3"/>
      <c r="Q963" s="3"/>
      <c r="AD963" s="3"/>
      <c r="AP963" s="3"/>
    </row>
    <row r="964" customFormat="false" ht="15" hidden="false" customHeight="false" outlineLevel="0" collapsed="false">
      <c r="A964" s="2"/>
      <c r="K964" s="3"/>
      <c r="M964" s="3"/>
      <c r="Q964" s="3"/>
      <c r="AD964" s="3"/>
      <c r="AP964" s="3"/>
    </row>
    <row r="965" customFormat="false" ht="15" hidden="false" customHeight="false" outlineLevel="0" collapsed="false">
      <c r="A965" s="2"/>
      <c r="K965" s="3"/>
      <c r="M965" s="3"/>
      <c r="Q965" s="3"/>
      <c r="AD965" s="3"/>
      <c r="AP965" s="3"/>
    </row>
    <row r="966" customFormat="false" ht="15" hidden="false" customHeight="false" outlineLevel="0" collapsed="false">
      <c r="A966" s="2"/>
      <c r="K966" s="3"/>
      <c r="M966" s="3"/>
      <c r="Q966" s="3"/>
      <c r="AD966" s="3"/>
      <c r="AP966" s="3"/>
    </row>
    <row r="967" customFormat="false" ht="15" hidden="false" customHeight="false" outlineLevel="0" collapsed="false">
      <c r="A967" s="2"/>
      <c r="K967" s="3"/>
      <c r="M967" s="3"/>
      <c r="Q967" s="3"/>
      <c r="AD967" s="3"/>
      <c r="AP967" s="3"/>
    </row>
    <row r="968" customFormat="false" ht="15" hidden="false" customHeight="false" outlineLevel="0" collapsed="false">
      <c r="A968" s="2"/>
      <c r="K968" s="3"/>
      <c r="M968" s="3"/>
      <c r="Q968" s="3"/>
      <c r="AD968" s="3"/>
      <c r="AP968" s="3"/>
    </row>
    <row r="969" customFormat="false" ht="15" hidden="false" customHeight="false" outlineLevel="0" collapsed="false">
      <c r="A969" s="2"/>
      <c r="K969" s="3"/>
      <c r="M969" s="3"/>
      <c r="Q969" s="3"/>
      <c r="AD969" s="3"/>
      <c r="AP969" s="3"/>
    </row>
    <row r="970" customFormat="false" ht="15" hidden="false" customHeight="false" outlineLevel="0" collapsed="false">
      <c r="A970" s="2"/>
      <c r="K970" s="3"/>
      <c r="M970" s="3"/>
      <c r="Q970" s="3"/>
      <c r="AD970" s="3"/>
      <c r="AP970" s="3"/>
    </row>
    <row r="971" customFormat="false" ht="15" hidden="false" customHeight="false" outlineLevel="0" collapsed="false">
      <c r="A971" s="2"/>
      <c r="K971" s="3"/>
      <c r="M971" s="3"/>
      <c r="Q971" s="3"/>
      <c r="AD971" s="3"/>
      <c r="AP971" s="3"/>
    </row>
    <row r="972" customFormat="false" ht="15" hidden="false" customHeight="false" outlineLevel="0" collapsed="false">
      <c r="A972" s="2"/>
      <c r="K972" s="3"/>
      <c r="M972" s="3"/>
      <c r="Q972" s="3"/>
      <c r="AD972" s="3"/>
      <c r="AP972" s="3"/>
    </row>
    <row r="973" customFormat="false" ht="15" hidden="false" customHeight="false" outlineLevel="0" collapsed="false">
      <c r="A973" s="2"/>
      <c r="K973" s="3"/>
      <c r="M973" s="3"/>
      <c r="Q973" s="3"/>
      <c r="AD973" s="3"/>
      <c r="AP973" s="3"/>
    </row>
    <row r="974" customFormat="false" ht="15" hidden="false" customHeight="false" outlineLevel="0" collapsed="false">
      <c r="A974" s="2"/>
      <c r="K974" s="3"/>
      <c r="M974" s="3"/>
      <c r="Q974" s="3"/>
      <c r="AD974" s="3"/>
      <c r="AP974" s="3"/>
    </row>
    <row r="975" customFormat="false" ht="15" hidden="false" customHeight="false" outlineLevel="0" collapsed="false">
      <c r="A975" s="2"/>
      <c r="K975" s="3"/>
      <c r="M975" s="3"/>
      <c r="Q975" s="3"/>
      <c r="AD975" s="3"/>
      <c r="AP975" s="3"/>
    </row>
    <row r="976" customFormat="false" ht="15" hidden="false" customHeight="false" outlineLevel="0" collapsed="false">
      <c r="A976" s="2"/>
      <c r="K976" s="3"/>
      <c r="M976" s="3"/>
      <c r="Q976" s="3"/>
      <c r="AD976" s="3"/>
      <c r="AP976" s="3"/>
    </row>
    <row r="977" customFormat="false" ht="15" hidden="false" customHeight="false" outlineLevel="0" collapsed="false">
      <c r="A977" s="2"/>
      <c r="K977" s="3"/>
      <c r="M977" s="3"/>
      <c r="Q977" s="3"/>
      <c r="AD977" s="3"/>
      <c r="AP977" s="3"/>
    </row>
    <row r="978" customFormat="false" ht="15" hidden="false" customHeight="false" outlineLevel="0" collapsed="false">
      <c r="A978" s="2"/>
      <c r="K978" s="3"/>
      <c r="M978" s="3"/>
      <c r="Q978" s="3"/>
      <c r="AD978" s="3"/>
      <c r="AP978" s="3"/>
    </row>
    <row r="979" customFormat="false" ht="15" hidden="false" customHeight="false" outlineLevel="0" collapsed="false">
      <c r="A979" s="2"/>
      <c r="K979" s="3"/>
      <c r="M979" s="3"/>
      <c r="Q979" s="3"/>
      <c r="AD979" s="3"/>
      <c r="AP979" s="3"/>
    </row>
    <row r="980" customFormat="false" ht="15" hidden="false" customHeight="false" outlineLevel="0" collapsed="false">
      <c r="A980" s="2"/>
      <c r="K980" s="3"/>
      <c r="M980" s="3"/>
      <c r="Q980" s="3"/>
      <c r="AD980" s="3"/>
      <c r="AP980" s="3"/>
    </row>
    <row r="981" customFormat="false" ht="15" hidden="false" customHeight="false" outlineLevel="0" collapsed="false">
      <c r="A981" s="2"/>
      <c r="K981" s="3"/>
      <c r="M981" s="3"/>
      <c r="Q981" s="3"/>
      <c r="AD981" s="3"/>
      <c r="AP981" s="3"/>
    </row>
    <row r="982" customFormat="false" ht="15" hidden="false" customHeight="false" outlineLevel="0" collapsed="false">
      <c r="A982" s="2"/>
      <c r="K982" s="3"/>
      <c r="M982" s="3"/>
      <c r="Q982" s="3"/>
      <c r="AD982" s="3"/>
      <c r="AP982" s="3"/>
    </row>
    <row r="983" customFormat="false" ht="15" hidden="false" customHeight="false" outlineLevel="0" collapsed="false">
      <c r="A983" s="2"/>
      <c r="K983" s="3"/>
      <c r="M983" s="3"/>
      <c r="Q983" s="3"/>
      <c r="AD983" s="3"/>
      <c r="AP983" s="3"/>
    </row>
    <row r="984" customFormat="false" ht="15" hidden="false" customHeight="false" outlineLevel="0" collapsed="false">
      <c r="A984" s="2"/>
      <c r="K984" s="3"/>
      <c r="M984" s="3"/>
      <c r="Q984" s="3"/>
      <c r="AD984" s="3"/>
      <c r="AP984" s="3"/>
    </row>
    <row r="985" customFormat="false" ht="15" hidden="false" customHeight="false" outlineLevel="0" collapsed="false">
      <c r="A985" s="2"/>
      <c r="K985" s="3"/>
      <c r="M985" s="3"/>
      <c r="Q985" s="3"/>
      <c r="AD985" s="3"/>
      <c r="AP985" s="3"/>
    </row>
    <row r="986" customFormat="false" ht="15" hidden="false" customHeight="false" outlineLevel="0" collapsed="false">
      <c r="A986" s="2"/>
      <c r="K986" s="3"/>
      <c r="M986" s="3"/>
      <c r="Q986" s="3"/>
      <c r="AD986" s="3"/>
      <c r="AP986" s="3"/>
    </row>
    <row r="987" customFormat="false" ht="15" hidden="false" customHeight="false" outlineLevel="0" collapsed="false">
      <c r="A987" s="2"/>
      <c r="K987" s="3"/>
      <c r="M987" s="3"/>
      <c r="Q987" s="3"/>
      <c r="AD987" s="3"/>
      <c r="AP987" s="3"/>
    </row>
    <row r="988" customFormat="false" ht="15" hidden="false" customHeight="false" outlineLevel="0" collapsed="false">
      <c r="A988" s="2"/>
      <c r="K988" s="3"/>
      <c r="M988" s="3"/>
      <c r="Q988" s="3"/>
      <c r="AD988" s="3"/>
      <c r="AP988" s="3"/>
    </row>
    <row r="989" customFormat="false" ht="15" hidden="false" customHeight="false" outlineLevel="0" collapsed="false">
      <c r="A989" s="2"/>
      <c r="K989" s="3"/>
      <c r="M989" s="3"/>
      <c r="Q989" s="3"/>
      <c r="AD989" s="3"/>
      <c r="AP989" s="3"/>
    </row>
    <row r="990" customFormat="false" ht="15" hidden="false" customHeight="false" outlineLevel="0" collapsed="false">
      <c r="A990" s="2"/>
      <c r="K990" s="3"/>
      <c r="M990" s="3"/>
      <c r="Q990" s="3"/>
      <c r="AD990" s="3"/>
      <c r="AP990" s="3"/>
    </row>
    <row r="991" customFormat="false" ht="15" hidden="false" customHeight="false" outlineLevel="0" collapsed="false">
      <c r="A991" s="2"/>
      <c r="K991" s="3"/>
      <c r="M991" s="3"/>
      <c r="Q991" s="3"/>
      <c r="AD991" s="3"/>
      <c r="AP991" s="3"/>
    </row>
    <row r="992" customFormat="false" ht="15" hidden="false" customHeight="false" outlineLevel="0" collapsed="false">
      <c r="A992" s="2"/>
      <c r="K992" s="3"/>
      <c r="M992" s="3"/>
      <c r="Q992" s="3"/>
      <c r="AD992" s="3"/>
      <c r="AP992" s="3"/>
    </row>
    <row r="993" customFormat="false" ht="15" hidden="false" customHeight="false" outlineLevel="0" collapsed="false">
      <c r="A993" s="2"/>
      <c r="K993" s="3"/>
      <c r="M993" s="3"/>
      <c r="Q993" s="3"/>
      <c r="AD993" s="3"/>
      <c r="AP993" s="3"/>
    </row>
    <row r="994" customFormat="false" ht="15" hidden="false" customHeight="false" outlineLevel="0" collapsed="false">
      <c r="A994" s="2"/>
      <c r="K994" s="3"/>
      <c r="M994" s="3"/>
      <c r="Q994" s="3"/>
      <c r="AD994" s="3"/>
      <c r="AP994" s="3"/>
    </row>
    <row r="995" customFormat="false" ht="15" hidden="false" customHeight="false" outlineLevel="0" collapsed="false">
      <c r="A995" s="2"/>
      <c r="K995" s="3"/>
      <c r="M995" s="3"/>
      <c r="Q995" s="3"/>
      <c r="AD995" s="3"/>
      <c r="AP995" s="3"/>
    </row>
    <row r="996" customFormat="false" ht="15" hidden="false" customHeight="false" outlineLevel="0" collapsed="false">
      <c r="A996" s="2"/>
      <c r="K996" s="3"/>
      <c r="M996" s="3"/>
      <c r="Q996" s="3"/>
      <c r="AD996" s="3"/>
      <c r="AP996" s="3"/>
    </row>
    <row r="997" customFormat="false" ht="15" hidden="false" customHeight="false" outlineLevel="0" collapsed="false">
      <c r="A997" s="2"/>
      <c r="K997" s="3"/>
      <c r="M997" s="3"/>
      <c r="Q997" s="3"/>
      <c r="AD997" s="3"/>
      <c r="AP997" s="3"/>
    </row>
    <row r="998" customFormat="false" ht="15" hidden="false" customHeight="false" outlineLevel="0" collapsed="false">
      <c r="A998" s="2"/>
      <c r="K998" s="3"/>
      <c r="M998" s="3"/>
      <c r="Q998" s="3"/>
      <c r="AD998" s="3"/>
      <c r="AP998" s="3"/>
    </row>
    <row r="999" customFormat="false" ht="15" hidden="false" customHeight="false" outlineLevel="0" collapsed="false">
      <c r="A999" s="2"/>
      <c r="K999" s="3"/>
      <c r="M999" s="3"/>
      <c r="Q999" s="3"/>
      <c r="AD999" s="3"/>
      <c r="AP999" s="3"/>
    </row>
    <row r="1000" customFormat="false" ht="15" hidden="false" customHeight="false" outlineLevel="0" collapsed="false">
      <c r="A1000" s="2"/>
      <c r="K1000" s="3"/>
      <c r="M1000" s="3"/>
      <c r="Q1000" s="3"/>
      <c r="AD1000" s="3"/>
      <c r="AP1000" s="3"/>
    </row>
    <row r="1001" customFormat="false" ht="15" hidden="false" customHeight="false" outlineLevel="0" collapsed="false">
      <c r="A1001" s="2"/>
      <c r="K1001" s="3"/>
      <c r="M1001" s="3"/>
      <c r="Q1001" s="3"/>
      <c r="AD1001" s="3"/>
      <c r="AP100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58"/>
  </cols>
  <sheetData>
    <row r="1" customFormat="false" ht="18.55" hidden="false" customHeight="false" outlineLevel="0" collapsed="false">
      <c r="A1" s="4" t="s">
        <v>49</v>
      </c>
    </row>
    <row r="2" customFormat="false" ht="15" hidden="false" customHeight="false" outlineLevel="0" collapsed="false">
      <c r="A2" s="5" t="s">
        <v>50</v>
      </c>
      <c r="B2" s="5"/>
      <c r="C2" s="5"/>
      <c r="D2" s="5"/>
    </row>
    <row r="4" customFormat="false" ht="15" hidden="false" customHeight="false" outlineLevel="0" collapsed="false">
      <c r="A4" s="6" t="s">
        <v>51</v>
      </c>
      <c r="B4" s="6" t="s">
        <v>52</v>
      </c>
      <c r="C4" s="6" t="s">
        <v>53</v>
      </c>
      <c r="D4" s="6" t="s">
        <v>54</v>
      </c>
    </row>
    <row r="5" customFormat="false" ht="15" hidden="false" customHeight="false" outlineLevel="0" collapsed="false">
      <c r="A5" s="7" t="s">
        <v>55</v>
      </c>
      <c r="B5" s="8" t="n">
        <f aca="false">MAX(0,COUNTA(Responses!A:A)-1)</f>
        <v>0</v>
      </c>
      <c r="C5" s="9"/>
      <c r="D5" s="10"/>
    </row>
    <row r="6" customFormat="false" ht="15" hidden="false" customHeight="false" outlineLevel="0" collapsed="false">
      <c r="A6" s="7" t="s">
        <v>56</v>
      </c>
      <c r="B6" s="11" t="n">
        <f aca="false">COUNTIF(Responses!B:B,"English")</f>
        <v>0</v>
      </c>
      <c r="C6" s="12" t="n">
        <f aca="false">IF($B$5=0,0,B6/$B$5)</f>
        <v>0</v>
      </c>
      <c r="D6" s="10"/>
    </row>
    <row r="7" customFormat="false" ht="15" hidden="false" customHeight="false" outlineLevel="0" collapsed="false">
      <c r="A7" s="7" t="s">
        <v>57</v>
      </c>
      <c r="B7" s="11" t="n">
        <f aca="false">COUNTIF(Responses!B:B,"Spanish")</f>
        <v>0</v>
      </c>
      <c r="C7" s="12" t="n">
        <f aca="false">IF($B$5=0,0,B7/$B$5)</f>
        <v>0</v>
      </c>
      <c r="D7" s="10"/>
    </row>
    <row r="8" customFormat="false" ht="15" hidden="false" customHeight="false" outlineLevel="0" collapsed="false">
      <c r="A8" s="6" t="s">
        <v>58</v>
      </c>
      <c r="B8" s="13"/>
      <c r="C8" s="13"/>
      <c r="D8" s="13"/>
    </row>
    <row r="9" customFormat="false" ht="22.35" hidden="false" customHeight="false" outlineLevel="0" collapsed="false">
      <c r="A9" s="7" t="s">
        <v>59</v>
      </c>
      <c r="B9" s="11" t="n">
        <f aca="false">COUNTIF(Responses!H:H,"*9*")</f>
        <v>0</v>
      </c>
      <c r="C9" s="12" t="n">
        <f aca="false">IF($B$5=0,0,B9/$B$5)</f>
        <v>0</v>
      </c>
      <c r="D9" s="10" t="s">
        <v>60</v>
      </c>
    </row>
    <row r="10" customFormat="false" ht="15" hidden="false" customHeight="false" outlineLevel="0" collapsed="false">
      <c r="A10" s="7" t="s">
        <v>61</v>
      </c>
      <c r="B10" s="11" t="n">
        <f aca="false">COUNTIF(Responses!H:H,"*10*")</f>
        <v>0</v>
      </c>
      <c r="C10" s="12" t="n">
        <f aca="false">IF($B$5=0,0,B10/$B$5)</f>
        <v>0</v>
      </c>
      <c r="D10" s="10"/>
    </row>
    <row r="11" customFormat="false" ht="15" hidden="false" customHeight="false" outlineLevel="0" collapsed="false">
      <c r="A11" s="7" t="s">
        <v>62</v>
      </c>
      <c r="B11" s="11" t="n">
        <f aca="false">COUNTIF(Responses!H:H,"*11*")</f>
        <v>0</v>
      </c>
      <c r="C11" s="12" t="n">
        <f aca="false">IF($B$5=0,0,B11/$B$5)</f>
        <v>0</v>
      </c>
      <c r="D11" s="10"/>
    </row>
    <row r="12" customFormat="false" ht="15" hidden="false" customHeight="false" outlineLevel="0" collapsed="false">
      <c r="A12" s="7" t="s">
        <v>63</v>
      </c>
      <c r="B12" s="11" t="n">
        <f aca="false">COUNTIF(Responses!H:H,"*12*")</f>
        <v>0</v>
      </c>
      <c r="C12" s="12" t="n">
        <f aca="false">IF($B$5=0,0,B12/$B$5)</f>
        <v>0</v>
      </c>
      <c r="D12" s="10"/>
    </row>
    <row r="13" customFormat="false" ht="15" hidden="false" customHeight="false" outlineLevel="0" collapsed="false">
      <c r="A13" s="6" t="s">
        <v>64</v>
      </c>
      <c r="B13" s="13"/>
      <c r="C13" s="13"/>
      <c r="D13" s="13"/>
    </row>
    <row r="14" customFormat="false" ht="15" hidden="false" customHeight="false" outlineLevel="0" collapsed="false">
      <c r="A14" s="7" t="s">
        <v>65</v>
      </c>
      <c r="B14" s="11" t="n">
        <f aca="false">COUNTIF(Responses!U:U,"Yes")</f>
        <v>0</v>
      </c>
      <c r="C14" s="12" t="n">
        <f aca="false">IF($B$5=0,0,B14/$B$5)</f>
        <v>0</v>
      </c>
      <c r="D14" s="10"/>
    </row>
    <row r="15" customFormat="false" ht="15" hidden="false" customHeight="false" outlineLevel="0" collapsed="false">
      <c r="A15" s="7" t="s">
        <v>66</v>
      </c>
      <c r="B15" s="11" t="n">
        <f aca="false">COUNTIF(Responses!V:V,"Free lunch")+COUNTIF(Responses!V:V,"Reduced-price lunch")</f>
        <v>0</v>
      </c>
      <c r="C15" s="12" t="n">
        <f aca="false">IF($B$5=0,0,B15/$B$5)</f>
        <v>0</v>
      </c>
      <c r="D15" s="10" t="s">
        <v>67</v>
      </c>
    </row>
    <row r="16" customFormat="false" ht="15" hidden="false" customHeight="false" outlineLevel="0" collapsed="false">
      <c r="A16" s="7" t="s">
        <v>68</v>
      </c>
      <c r="B16" s="11" t="n">
        <f aca="false">COUNTIF(Responses!W:W,"Yes")</f>
        <v>0</v>
      </c>
      <c r="C16" s="12" t="n">
        <f aca="false">IF($B$5=0,0,B16/$B$5)</f>
        <v>0</v>
      </c>
      <c r="D16" s="10"/>
    </row>
    <row r="17" customFormat="false" ht="22.35" hidden="false" customHeight="false" outlineLevel="0" collapsed="false">
      <c r="A17" s="7" t="s">
        <v>69</v>
      </c>
      <c r="B17" s="11" t="n">
        <f aca="false">COUNTIF(Responses!X:X,"*Hispanic or Latino*")</f>
        <v>0</v>
      </c>
      <c r="C17" s="12" t="n">
        <f aca="false">IF($B$5=0,0,B17/$B$5)</f>
        <v>0</v>
      </c>
      <c r="D17" s="10" t="s">
        <v>70</v>
      </c>
    </row>
    <row r="18" customFormat="false" ht="15" hidden="false" customHeight="false" outlineLevel="0" collapsed="false">
      <c r="A18" s="7" t="s">
        <v>71</v>
      </c>
      <c r="B18" s="11" t="n">
        <f aca="false">COUNTIF(Responses!X:X,"*Black or African American*")</f>
        <v>0</v>
      </c>
      <c r="C18" s="12" t="n">
        <f aca="false">IF($B$5=0,0,B18/$B$5)</f>
        <v>0</v>
      </c>
      <c r="D18" s="10"/>
    </row>
    <row r="19" customFormat="false" ht="15" hidden="false" customHeight="false" outlineLevel="0" collapsed="false">
      <c r="A19" s="7" t="s">
        <v>72</v>
      </c>
      <c r="B19" s="11" t="n">
        <f aca="false">COUNTIF(Responses!X:X,"*White*")</f>
        <v>0</v>
      </c>
      <c r="C19" s="12" t="n">
        <f aca="false">IF($B$5=0,0,B19/$B$5)</f>
        <v>0</v>
      </c>
      <c r="D19" s="10"/>
    </row>
    <row r="20" customFormat="false" ht="15" hidden="false" customHeight="false" outlineLevel="0" collapsed="false">
      <c r="A20" s="7" t="s">
        <v>73</v>
      </c>
      <c r="B20" s="11" t="n">
        <f aca="false">COUNTIF(Responses!X:X,"*Asian*")</f>
        <v>0</v>
      </c>
      <c r="C20" s="12" t="n">
        <f aca="false">IF($B$5=0,0,B20/$B$5)</f>
        <v>0</v>
      </c>
      <c r="D20" s="10"/>
    </row>
    <row r="21" customFormat="false" ht="15" hidden="false" customHeight="false" outlineLevel="0" collapsed="false">
      <c r="A21" s="7" t="s">
        <v>74</v>
      </c>
      <c r="B21" s="11" t="n">
        <f aca="false">COUNTIF(Responses!X:X,"*Two or more races*")</f>
        <v>0</v>
      </c>
      <c r="C21" s="12" t="n">
        <f aca="false">IF($B$5=0,0,B21/$B$5)</f>
        <v>0</v>
      </c>
      <c r="D21" s="10"/>
    </row>
    <row r="22" customFormat="false" ht="15" hidden="false" customHeight="false" outlineLevel="0" collapsed="false">
      <c r="A22" s="6" t="s">
        <v>75</v>
      </c>
      <c r="B22" s="13"/>
      <c r="C22" s="13"/>
      <c r="D22" s="13"/>
    </row>
    <row r="23" customFormat="false" ht="15" hidden="false" customHeight="false" outlineLevel="0" collapsed="false">
      <c r="A23" s="7" t="s">
        <v>76</v>
      </c>
      <c r="B23" s="11" t="n">
        <f aca="false">COUNTIF(Responses!AH:AH,"Yes")</f>
        <v>0</v>
      </c>
      <c r="C23" s="12" t="n">
        <f aca="false">IF($B$5=0,0,B23/$B$5)</f>
        <v>0</v>
      </c>
      <c r="D23" s="10"/>
    </row>
    <row r="24" customFormat="false" ht="15" hidden="false" customHeight="false" outlineLevel="0" collapsed="false">
      <c r="A24" s="7" t="s">
        <v>77</v>
      </c>
      <c r="B24" s="11" t="n">
        <f aca="false">COUNTIF(Responses!AK:AK,"Yes")</f>
        <v>0</v>
      </c>
      <c r="C24" s="12" t="n">
        <f aca="false">IF($B$5=0,0,B24/$B$5)</f>
        <v>0</v>
      </c>
      <c r="D24" s="10"/>
    </row>
    <row r="25" customFormat="false" ht="15" hidden="false" customHeight="false" outlineLevel="0" collapsed="false">
      <c r="A25" s="6" t="s">
        <v>78</v>
      </c>
      <c r="B25" s="13"/>
      <c r="C25" s="13"/>
      <c r="D25" s="13"/>
    </row>
    <row r="26" customFormat="false" ht="22.35" hidden="false" customHeight="false" outlineLevel="0" collapsed="false">
      <c r="A26" s="14" t="s">
        <v>79</v>
      </c>
      <c r="B26" s="15" t="n">
        <f aca="false">COUNTIF(Responses!AU:AU,"No")</f>
        <v>0</v>
      </c>
      <c r="C26" s="12" t="n">
        <f aca="false">IF($B$5=0,0,B26/$B$5)</f>
        <v>0</v>
      </c>
      <c r="D26" s="10" t="s">
        <v>80</v>
      </c>
    </row>
    <row r="27" customFormat="false" ht="15" hidden="false" customHeight="false" outlineLevel="0" collapsed="false">
      <c r="A27" s="14" t="s">
        <v>81</v>
      </c>
      <c r="B27" s="15" t="n">
        <f aca="false">COUNTIF(Responses!AS:AS,"I do not agree")</f>
        <v>0</v>
      </c>
      <c r="C27" s="12" t="n">
        <f aca="false">IF($B$5=0,0,B27/$B$5)</f>
        <v>0</v>
      </c>
      <c r="D27" s="10" t="s">
        <v>82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58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36"/>
    <col collapsed="false" customWidth="true" hidden="false" outlineLevel="0" max="7" min="7" style="0" width="44"/>
  </cols>
  <sheetData>
    <row r="1" customFormat="false" ht="16.15" hidden="false" customHeight="false" outlineLevel="0" collapsed="false">
      <c r="A1" s="16" t="s">
        <v>83</v>
      </c>
    </row>
    <row r="2" customFormat="false" ht="27.75" hidden="false" customHeight="true" outlineLevel="0" collapsed="false">
      <c r="A2" s="17" t="s">
        <v>84</v>
      </c>
      <c r="B2" s="17"/>
      <c r="C2" s="17"/>
      <c r="D2" s="17"/>
      <c r="E2" s="17"/>
      <c r="F2" s="17"/>
    </row>
    <row r="3" customFormat="false" ht="27.75" hidden="false" customHeight="true" outlineLevel="0" collapsed="false">
      <c r="A3" s="17" t="s">
        <v>85</v>
      </c>
      <c r="B3" s="17"/>
      <c r="C3" s="17"/>
      <c r="D3" s="17"/>
      <c r="E3" s="17"/>
      <c r="F3" s="17"/>
    </row>
    <row r="4" customFormat="false" ht="27.75" hidden="false" customHeight="true" outlineLevel="0" collapsed="false">
      <c r="A4" s="17" t="s">
        <v>86</v>
      </c>
      <c r="B4" s="17"/>
      <c r="C4" s="17"/>
      <c r="D4" s="17"/>
      <c r="E4" s="17"/>
      <c r="F4" s="17"/>
    </row>
    <row r="5" customFormat="false" ht="27.75" hidden="false" customHeight="true" outlineLevel="0" collapsed="false">
      <c r="A5" s="17" t="s">
        <v>87</v>
      </c>
      <c r="B5" s="17"/>
      <c r="C5" s="17"/>
      <c r="D5" s="17"/>
      <c r="E5" s="17"/>
      <c r="F5" s="17"/>
    </row>
    <row r="6" customFormat="false" ht="27.75" hidden="false" customHeight="true" outlineLevel="0" collapsed="false">
      <c r="A6" s="17" t="s">
        <v>88</v>
      </c>
      <c r="B6" s="17"/>
      <c r="C6" s="17"/>
      <c r="D6" s="17"/>
      <c r="E6" s="17"/>
      <c r="F6" s="17"/>
    </row>
    <row r="7" customFormat="false" ht="27.75" hidden="false" customHeight="true" outlineLevel="0" collapsed="false">
      <c r="A7" s="17" t="s">
        <v>89</v>
      </c>
      <c r="B7" s="17"/>
      <c r="C7" s="17"/>
      <c r="D7" s="17"/>
      <c r="E7" s="17"/>
      <c r="F7" s="17"/>
    </row>
    <row r="9" customFormat="false" ht="15" hidden="false" customHeight="false" outlineLevel="0" collapsed="false">
      <c r="A9" s="6" t="s">
        <v>90</v>
      </c>
      <c r="B9" s="6" t="s">
        <v>91</v>
      </c>
      <c r="C9" s="6" t="s">
        <v>92</v>
      </c>
      <c r="D9" s="6" t="s">
        <v>93</v>
      </c>
      <c r="E9" s="6" t="s">
        <v>94</v>
      </c>
      <c r="F9" s="6" t="s">
        <v>95</v>
      </c>
      <c r="G9" s="6" t="s">
        <v>54</v>
      </c>
    </row>
    <row r="10" customFormat="false" ht="23.85" hidden="false" customHeight="false" outlineLevel="0" collapsed="false">
      <c r="A10" s="18" t="s">
        <v>96</v>
      </c>
      <c r="B10" s="18" t="s">
        <v>0</v>
      </c>
      <c r="C10" s="18" t="s">
        <v>97</v>
      </c>
      <c r="D10" s="18"/>
      <c r="E10" s="18" t="s">
        <v>98</v>
      </c>
      <c r="F10" s="19" t="s">
        <v>99</v>
      </c>
      <c r="G10" s="18" t="s">
        <v>100</v>
      </c>
    </row>
    <row r="11" customFormat="false" ht="23.85" hidden="false" customHeight="false" outlineLevel="0" collapsed="false">
      <c r="A11" s="20" t="s">
        <v>101</v>
      </c>
      <c r="B11" s="20" t="s">
        <v>1</v>
      </c>
      <c r="C11" s="20" t="s">
        <v>102</v>
      </c>
      <c r="D11" s="20"/>
      <c r="E11" s="20" t="s">
        <v>103</v>
      </c>
      <c r="F11" s="21" t="s">
        <v>104</v>
      </c>
      <c r="G11" s="20" t="s">
        <v>105</v>
      </c>
    </row>
    <row r="12" customFormat="false" ht="15" hidden="false" customHeight="false" outlineLevel="0" collapsed="false">
      <c r="A12" s="18" t="s">
        <v>106</v>
      </c>
      <c r="B12" s="18" t="s">
        <v>2</v>
      </c>
      <c r="C12" s="18" t="s">
        <v>2</v>
      </c>
      <c r="D12" s="18" t="s">
        <v>107</v>
      </c>
      <c r="E12" s="18" t="s">
        <v>103</v>
      </c>
      <c r="F12" s="19" t="s">
        <v>108</v>
      </c>
      <c r="G12" s="18"/>
    </row>
    <row r="13" customFormat="false" ht="15" hidden="false" customHeight="false" outlineLevel="0" collapsed="false">
      <c r="A13" s="20" t="s">
        <v>109</v>
      </c>
      <c r="B13" s="20" t="s">
        <v>3</v>
      </c>
      <c r="C13" s="20" t="s">
        <v>110</v>
      </c>
      <c r="D13" s="20" t="s">
        <v>107</v>
      </c>
      <c r="E13" s="20" t="s">
        <v>103</v>
      </c>
      <c r="F13" s="21" t="s">
        <v>111</v>
      </c>
      <c r="G13" s="20"/>
    </row>
    <row r="14" customFormat="false" ht="15" hidden="false" customHeight="false" outlineLevel="0" collapsed="false">
      <c r="A14" s="18" t="s">
        <v>112</v>
      </c>
      <c r="B14" s="18" t="s">
        <v>4</v>
      </c>
      <c r="C14" s="18" t="s">
        <v>113</v>
      </c>
      <c r="D14" s="18" t="s">
        <v>107</v>
      </c>
      <c r="E14" s="18" t="s">
        <v>103</v>
      </c>
      <c r="F14" s="19" t="s">
        <v>114</v>
      </c>
      <c r="G14" s="18"/>
    </row>
    <row r="15" customFormat="false" ht="15" hidden="false" customHeight="false" outlineLevel="0" collapsed="false">
      <c r="A15" s="20" t="s">
        <v>115</v>
      </c>
      <c r="B15" s="20" t="s">
        <v>5</v>
      </c>
      <c r="C15" s="20" t="s">
        <v>116</v>
      </c>
      <c r="D15" s="20"/>
      <c r="E15" s="20" t="s">
        <v>103</v>
      </c>
      <c r="F15" s="21"/>
      <c r="G15" s="20"/>
    </row>
    <row r="16" customFormat="false" ht="15" hidden="false" customHeight="false" outlineLevel="0" collapsed="false">
      <c r="A16" s="18" t="s">
        <v>117</v>
      </c>
      <c r="B16" s="18" t="s">
        <v>6</v>
      </c>
      <c r="C16" s="18" t="s">
        <v>118</v>
      </c>
      <c r="D16" s="18" t="s">
        <v>107</v>
      </c>
      <c r="E16" s="18" t="s">
        <v>119</v>
      </c>
      <c r="F16" s="19" t="s">
        <v>120</v>
      </c>
      <c r="G16" s="18"/>
    </row>
    <row r="17" customFormat="false" ht="15" hidden="false" customHeight="false" outlineLevel="0" collapsed="false">
      <c r="A17" s="20" t="s">
        <v>121</v>
      </c>
      <c r="B17" s="20" t="s">
        <v>7</v>
      </c>
      <c r="C17" s="20" t="s">
        <v>122</v>
      </c>
      <c r="D17" s="20" t="s">
        <v>107</v>
      </c>
      <c r="E17" s="20" t="s">
        <v>103</v>
      </c>
      <c r="F17" s="21" t="s">
        <v>123</v>
      </c>
      <c r="G17" s="20"/>
    </row>
    <row r="18" customFormat="false" ht="15" hidden="false" customHeight="false" outlineLevel="0" collapsed="false">
      <c r="A18" s="18" t="s">
        <v>124</v>
      </c>
      <c r="B18" s="18" t="s">
        <v>8</v>
      </c>
      <c r="C18" s="18" t="s">
        <v>125</v>
      </c>
      <c r="D18" s="18" t="s">
        <v>107</v>
      </c>
      <c r="E18" s="18" t="s">
        <v>103</v>
      </c>
      <c r="F18" s="19" t="s">
        <v>126</v>
      </c>
      <c r="G18" s="18"/>
    </row>
    <row r="19" customFormat="false" ht="15" hidden="false" customHeight="false" outlineLevel="0" collapsed="false">
      <c r="A19" s="20" t="s">
        <v>127</v>
      </c>
      <c r="B19" s="20" t="s">
        <v>9</v>
      </c>
      <c r="C19" s="20" t="s">
        <v>128</v>
      </c>
      <c r="D19" s="20"/>
      <c r="E19" s="20" t="s">
        <v>103</v>
      </c>
      <c r="F19" s="21"/>
      <c r="G19" s="20"/>
    </row>
    <row r="20" customFormat="false" ht="23.85" hidden="false" customHeight="false" outlineLevel="0" collapsed="false">
      <c r="A20" s="18" t="s">
        <v>129</v>
      </c>
      <c r="B20" s="18" t="s">
        <v>10</v>
      </c>
      <c r="C20" s="18" t="s">
        <v>130</v>
      </c>
      <c r="D20" s="18" t="s">
        <v>107</v>
      </c>
      <c r="E20" s="18" t="s">
        <v>103</v>
      </c>
      <c r="F20" s="19" t="s">
        <v>131</v>
      </c>
      <c r="G20" s="18" t="s">
        <v>132</v>
      </c>
    </row>
    <row r="21" customFormat="false" ht="15" hidden="false" customHeight="false" outlineLevel="0" collapsed="false">
      <c r="A21" s="20" t="s">
        <v>133</v>
      </c>
      <c r="B21" s="20" t="s">
        <v>11</v>
      </c>
      <c r="C21" s="20" t="s">
        <v>134</v>
      </c>
      <c r="D21" s="20"/>
      <c r="E21" s="20" t="s">
        <v>103</v>
      </c>
      <c r="F21" s="21"/>
      <c r="G21" s="20"/>
    </row>
    <row r="22" customFormat="false" ht="15" hidden="false" customHeight="false" outlineLevel="0" collapsed="false">
      <c r="A22" s="18" t="s">
        <v>135</v>
      </c>
      <c r="B22" s="18" t="s">
        <v>12</v>
      </c>
      <c r="C22" s="18" t="s">
        <v>136</v>
      </c>
      <c r="D22" s="18"/>
      <c r="E22" s="18" t="s">
        <v>103</v>
      </c>
      <c r="F22" s="19"/>
      <c r="G22" s="18"/>
    </row>
    <row r="23" customFormat="false" ht="15" hidden="false" customHeight="false" outlineLevel="0" collapsed="false">
      <c r="A23" s="20" t="s">
        <v>137</v>
      </c>
      <c r="B23" s="20" t="s">
        <v>13</v>
      </c>
      <c r="C23" s="20" t="s">
        <v>138</v>
      </c>
      <c r="D23" s="20" t="s">
        <v>107</v>
      </c>
      <c r="E23" s="20" t="s">
        <v>103</v>
      </c>
      <c r="F23" s="21" t="s">
        <v>139</v>
      </c>
      <c r="G23" s="20"/>
    </row>
    <row r="24" customFormat="false" ht="15" hidden="false" customHeight="false" outlineLevel="0" collapsed="false">
      <c r="A24" s="18" t="s">
        <v>140</v>
      </c>
      <c r="B24" s="18" t="s">
        <v>14</v>
      </c>
      <c r="C24" s="18" t="s">
        <v>141</v>
      </c>
      <c r="D24" s="18" t="s">
        <v>107</v>
      </c>
      <c r="E24" s="18" t="s">
        <v>103</v>
      </c>
      <c r="F24" s="19" t="s">
        <v>142</v>
      </c>
      <c r="G24" s="18"/>
    </row>
    <row r="25" customFormat="false" ht="15" hidden="false" customHeight="false" outlineLevel="0" collapsed="false">
      <c r="A25" s="20" t="s">
        <v>143</v>
      </c>
      <c r="B25" s="20" t="s">
        <v>15</v>
      </c>
      <c r="C25" s="20" t="s">
        <v>144</v>
      </c>
      <c r="D25" s="20" t="s">
        <v>107</v>
      </c>
      <c r="E25" s="20" t="s">
        <v>103</v>
      </c>
      <c r="F25" s="21" t="s">
        <v>108</v>
      </c>
      <c r="G25" s="20"/>
    </row>
    <row r="26" customFormat="false" ht="15" hidden="false" customHeight="false" outlineLevel="0" collapsed="false">
      <c r="A26" s="18" t="s">
        <v>145</v>
      </c>
      <c r="B26" s="18" t="s">
        <v>16</v>
      </c>
      <c r="C26" s="18" t="s">
        <v>146</v>
      </c>
      <c r="D26" s="18" t="s">
        <v>107</v>
      </c>
      <c r="E26" s="18" t="s">
        <v>103</v>
      </c>
      <c r="F26" s="19" t="s">
        <v>147</v>
      </c>
      <c r="G26" s="18"/>
    </row>
    <row r="27" customFormat="false" ht="15" hidden="false" customHeight="false" outlineLevel="0" collapsed="false">
      <c r="A27" s="20" t="s">
        <v>148</v>
      </c>
      <c r="B27" s="20" t="s">
        <v>17</v>
      </c>
      <c r="C27" s="20" t="s">
        <v>149</v>
      </c>
      <c r="D27" s="20" t="s">
        <v>107</v>
      </c>
      <c r="E27" s="20" t="s">
        <v>150</v>
      </c>
      <c r="F27" s="21" t="s">
        <v>151</v>
      </c>
      <c r="G27" s="20"/>
    </row>
    <row r="28" customFormat="false" ht="15" hidden="false" customHeight="false" outlineLevel="0" collapsed="false">
      <c r="A28" s="18" t="s">
        <v>152</v>
      </c>
      <c r="B28" s="18" t="s">
        <v>18</v>
      </c>
      <c r="C28" s="18" t="s">
        <v>153</v>
      </c>
      <c r="D28" s="18" t="s">
        <v>107</v>
      </c>
      <c r="E28" s="18" t="s">
        <v>103</v>
      </c>
      <c r="F28" s="19" t="s">
        <v>154</v>
      </c>
      <c r="G28" s="18"/>
    </row>
    <row r="29" customFormat="false" ht="15" hidden="false" customHeight="false" outlineLevel="0" collapsed="false">
      <c r="A29" s="20" t="s">
        <v>155</v>
      </c>
      <c r="B29" s="20" t="s">
        <v>19</v>
      </c>
      <c r="C29" s="20" t="s">
        <v>156</v>
      </c>
      <c r="D29" s="20" t="s">
        <v>107</v>
      </c>
      <c r="E29" s="20" t="s">
        <v>103</v>
      </c>
      <c r="F29" s="21" t="s">
        <v>157</v>
      </c>
      <c r="G29" s="20"/>
    </row>
    <row r="30" customFormat="false" ht="23.85" hidden="false" customHeight="false" outlineLevel="0" collapsed="false">
      <c r="A30" s="18" t="s">
        <v>158</v>
      </c>
      <c r="B30" s="18" t="s">
        <v>20</v>
      </c>
      <c r="C30" s="18" t="s">
        <v>159</v>
      </c>
      <c r="D30" s="18" t="s">
        <v>107</v>
      </c>
      <c r="E30" s="18" t="s">
        <v>150</v>
      </c>
      <c r="F30" s="19" t="s">
        <v>107</v>
      </c>
      <c r="G30" s="18"/>
    </row>
    <row r="31" customFormat="false" ht="15" hidden="false" customHeight="false" outlineLevel="0" collapsed="false">
      <c r="A31" s="20" t="s">
        <v>160</v>
      </c>
      <c r="B31" s="20" t="s">
        <v>21</v>
      </c>
      <c r="C31" s="20" t="s">
        <v>161</v>
      </c>
      <c r="D31" s="20" t="s">
        <v>107</v>
      </c>
      <c r="E31" s="20" t="s">
        <v>150</v>
      </c>
      <c r="F31" s="21" t="s">
        <v>162</v>
      </c>
      <c r="G31" s="20"/>
    </row>
    <row r="32" customFormat="false" ht="15" hidden="false" customHeight="false" outlineLevel="0" collapsed="false">
      <c r="A32" s="18" t="s">
        <v>163</v>
      </c>
      <c r="B32" s="18" t="s">
        <v>22</v>
      </c>
      <c r="C32" s="18" t="s">
        <v>164</v>
      </c>
      <c r="D32" s="18" t="s">
        <v>107</v>
      </c>
      <c r="E32" s="18" t="s">
        <v>150</v>
      </c>
      <c r="F32" s="19" t="s">
        <v>165</v>
      </c>
      <c r="G32" s="18"/>
    </row>
    <row r="33" customFormat="false" ht="15" hidden="false" customHeight="false" outlineLevel="0" collapsed="false">
      <c r="A33" s="20" t="s">
        <v>166</v>
      </c>
      <c r="B33" s="20" t="s">
        <v>23</v>
      </c>
      <c r="C33" s="20" t="s">
        <v>167</v>
      </c>
      <c r="D33" s="20" t="s">
        <v>107</v>
      </c>
      <c r="E33" s="20" t="s">
        <v>168</v>
      </c>
      <c r="F33" s="21" t="s">
        <v>169</v>
      </c>
      <c r="G33" s="20" t="s">
        <v>170</v>
      </c>
    </row>
    <row r="34" customFormat="false" ht="23.85" hidden="false" customHeight="false" outlineLevel="0" collapsed="false">
      <c r="A34" s="18" t="s">
        <v>171</v>
      </c>
      <c r="B34" s="18" t="s">
        <v>24</v>
      </c>
      <c r="C34" s="18" t="s">
        <v>172</v>
      </c>
      <c r="D34" s="18"/>
      <c r="E34" s="18" t="s">
        <v>168</v>
      </c>
      <c r="F34" s="19" t="s">
        <v>173</v>
      </c>
      <c r="G34" s="18"/>
    </row>
    <row r="35" customFormat="false" ht="23.85" hidden="false" customHeight="false" outlineLevel="0" collapsed="false">
      <c r="A35" s="20" t="s">
        <v>174</v>
      </c>
      <c r="B35" s="20" t="s">
        <v>25</v>
      </c>
      <c r="C35" s="20" t="s">
        <v>175</v>
      </c>
      <c r="D35" s="20"/>
      <c r="E35" s="20" t="s">
        <v>103</v>
      </c>
      <c r="F35" s="21"/>
      <c r="G35" s="20" t="s">
        <v>176</v>
      </c>
    </row>
    <row r="36" customFormat="false" ht="23.85" hidden="false" customHeight="false" outlineLevel="0" collapsed="false">
      <c r="A36" s="18" t="s">
        <v>177</v>
      </c>
      <c r="B36" s="18" t="s">
        <v>26</v>
      </c>
      <c r="C36" s="18" t="s">
        <v>178</v>
      </c>
      <c r="D36" s="18"/>
      <c r="E36" s="18" t="s">
        <v>168</v>
      </c>
      <c r="F36" s="19" t="s">
        <v>179</v>
      </c>
      <c r="G36" s="18"/>
    </row>
    <row r="37" customFormat="false" ht="23.85" hidden="false" customHeight="false" outlineLevel="0" collapsed="false">
      <c r="A37" s="20" t="s">
        <v>180</v>
      </c>
      <c r="B37" s="20" t="s">
        <v>27</v>
      </c>
      <c r="C37" s="20" t="s">
        <v>181</v>
      </c>
      <c r="D37" s="20"/>
      <c r="E37" s="20" t="s">
        <v>168</v>
      </c>
      <c r="F37" s="21" t="s">
        <v>182</v>
      </c>
      <c r="G37" s="20"/>
    </row>
    <row r="38" customFormat="false" ht="15" hidden="false" customHeight="false" outlineLevel="0" collapsed="false">
      <c r="A38" s="18" t="s">
        <v>183</v>
      </c>
      <c r="B38" s="18" t="s">
        <v>28</v>
      </c>
      <c r="C38" s="18" t="s">
        <v>184</v>
      </c>
      <c r="D38" s="18"/>
      <c r="E38" s="18" t="s">
        <v>150</v>
      </c>
      <c r="F38" s="19" t="s">
        <v>185</v>
      </c>
      <c r="G38" s="18"/>
    </row>
    <row r="39" customFormat="false" ht="15" hidden="false" customHeight="false" outlineLevel="0" collapsed="false">
      <c r="A39" s="20" t="s">
        <v>186</v>
      </c>
      <c r="B39" s="20" t="s">
        <v>29</v>
      </c>
      <c r="C39" s="20" t="s">
        <v>187</v>
      </c>
      <c r="D39" s="20"/>
      <c r="E39" s="20" t="s">
        <v>103</v>
      </c>
      <c r="F39" s="21" t="s">
        <v>188</v>
      </c>
      <c r="G39" s="20"/>
    </row>
    <row r="40" customFormat="false" ht="15" hidden="false" customHeight="false" outlineLevel="0" collapsed="false">
      <c r="A40" s="18" t="s">
        <v>189</v>
      </c>
      <c r="B40" s="18" t="s">
        <v>30</v>
      </c>
      <c r="C40" s="18" t="s">
        <v>190</v>
      </c>
      <c r="D40" s="18"/>
      <c r="E40" s="18" t="s">
        <v>103</v>
      </c>
      <c r="F40" s="19" t="s">
        <v>191</v>
      </c>
      <c r="G40" s="18"/>
    </row>
    <row r="41" customFormat="false" ht="15" hidden="false" customHeight="false" outlineLevel="0" collapsed="false">
      <c r="A41" s="20" t="s">
        <v>192</v>
      </c>
      <c r="B41" s="20" t="s">
        <v>31</v>
      </c>
      <c r="C41" s="20" t="s">
        <v>193</v>
      </c>
      <c r="D41" s="20"/>
      <c r="E41" s="20" t="s">
        <v>168</v>
      </c>
      <c r="F41" s="21" t="s">
        <v>194</v>
      </c>
      <c r="G41" s="20"/>
    </row>
    <row r="42" customFormat="false" ht="23.85" hidden="false" customHeight="false" outlineLevel="0" collapsed="false">
      <c r="A42" s="18" t="s">
        <v>195</v>
      </c>
      <c r="B42" s="18" t="s">
        <v>32</v>
      </c>
      <c r="C42" s="18" t="s">
        <v>196</v>
      </c>
      <c r="D42" s="18"/>
      <c r="E42" s="18" t="s">
        <v>103</v>
      </c>
      <c r="F42" s="19" t="s">
        <v>197</v>
      </c>
      <c r="G42" s="18"/>
    </row>
    <row r="43" customFormat="false" ht="23.85" hidden="false" customHeight="false" outlineLevel="0" collapsed="false">
      <c r="A43" s="20" t="s">
        <v>198</v>
      </c>
      <c r="B43" s="20" t="s">
        <v>33</v>
      </c>
      <c r="C43" s="20" t="s">
        <v>199</v>
      </c>
      <c r="D43" s="20"/>
      <c r="E43" s="20" t="s">
        <v>150</v>
      </c>
      <c r="F43" s="21" t="s">
        <v>107</v>
      </c>
      <c r="G43" s="20"/>
    </row>
    <row r="44" customFormat="false" ht="15" hidden="false" customHeight="false" outlineLevel="0" collapsed="false">
      <c r="A44" s="18" t="s">
        <v>200</v>
      </c>
      <c r="B44" s="18" t="s">
        <v>34</v>
      </c>
      <c r="C44" s="18" t="s">
        <v>201</v>
      </c>
      <c r="D44" s="18"/>
      <c r="E44" s="18" t="s">
        <v>168</v>
      </c>
      <c r="F44" s="19" t="s">
        <v>202</v>
      </c>
      <c r="G44" s="18"/>
    </row>
    <row r="45" customFormat="false" ht="15" hidden="false" customHeight="false" outlineLevel="0" collapsed="false">
      <c r="A45" s="20" t="s">
        <v>203</v>
      </c>
      <c r="B45" s="20" t="s">
        <v>35</v>
      </c>
      <c r="C45" s="20" t="s">
        <v>204</v>
      </c>
      <c r="D45" s="20"/>
      <c r="E45" s="20" t="s">
        <v>168</v>
      </c>
      <c r="F45" s="21" t="s">
        <v>205</v>
      </c>
      <c r="G45" s="20"/>
    </row>
    <row r="46" customFormat="false" ht="23.85" hidden="false" customHeight="false" outlineLevel="0" collapsed="false">
      <c r="A46" s="18" t="s">
        <v>206</v>
      </c>
      <c r="B46" s="18" t="s">
        <v>36</v>
      </c>
      <c r="C46" s="18" t="s">
        <v>207</v>
      </c>
      <c r="D46" s="18"/>
      <c r="E46" s="18" t="s">
        <v>150</v>
      </c>
      <c r="F46" s="19" t="s">
        <v>107</v>
      </c>
      <c r="G46" s="18"/>
    </row>
    <row r="47" customFormat="false" ht="23.85" hidden="false" customHeight="false" outlineLevel="0" collapsed="false">
      <c r="A47" s="20" t="s">
        <v>208</v>
      </c>
      <c r="B47" s="20" t="s">
        <v>37</v>
      </c>
      <c r="C47" s="20" t="s">
        <v>209</v>
      </c>
      <c r="D47" s="20"/>
      <c r="E47" s="20" t="s">
        <v>168</v>
      </c>
      <c r="F47" s="21" t="s">
        <v>210</v>
      </c>
      <c r="G47" s="20"/>
    </row>
    <row r="48" customFormat="false" ht="15" hidden="false" customHeight="false" outlineLevel="0" collapsed="false">
      <c r="A48" s="18" t="s">
        <v>211</v>
      </c>
      <c r="B48" s="18" t="s">
        <v>38</v>
      </c>
      <c r="C48" s="18" t="s">
        <v>212</v>
      </c>
      <c r="D48" s="18"/>
      <c r="E48" s="18" t="s">
        <v>168</v>
      </c>
      <c r="F48" s="19" t="s">
        <v>213</v>
      </c>
      <c r="G48" s="18"/>
    </row>
    <row r="49" customFormat="false" ht="15" hidden="false" customHeight="false" outlineLevel="0" collapsed="false">
      <c r="A49" s="20" t="s">
        <v>214</v>
      </c>
      <c r="B49" s="20" t="s">
        <v>39</v>
      </c>
      <c r="C49" s="20" t="s">
        <v>215</v>
      </c>
      <c r="D49" s="20" t="s">
        <v>107</v>
      </c>
      <c r="E49" s="20" t="s">
        <v>103</v>
      </c>
      <c r="F49" s="21" t="s">
        <v>216</v>
      </c>
      <c r="G49" s="20"/>
    </row>
    <row r="50" customFormat="false" ht="15" hidden="false" customHeight="false" outlineLevel="0" collapsed="false">
      <c r="A50" s="18" t="s">
        <v>217</v>
      </c>
      <c r="B50" s="18" t="s">
        <v>40</v>
      </c>
      <c r="C50" s="18" t="s">
        <v>141</v>
      </c>
      <c r="D50" s="18" t="s">
        <v>107</v>
      </c>
      <c r="E50" s="18" t="s">
        <v>103</v>
      </c>
      <c r="F50" s="19" t="s">
        <v>218</v>
      </c>
      <c r="G50" s="18"/>
    </row>
    <row r="51" customFormat="false" ht="15" hidden="false" customHeight="false" outlineLevel="0" collapsed="false">
      <c r="A51" s="20" t="s">
        <v>219</v>
      </c>
      <c r="B51" s="20" t="s">
        <v>41</v>
      </c>
      <c r="C51" s="20" t="s">
        <v>220</v>
      </c>
      <c r="D51" s="20" t="s">
        <v>107</v>
      </c>
      <c r="E51" s="20" t="s">
        <v>103</v>
      </c>
      <c r="F51" s="21" t="s">
        <v>221</v>
      </c>
      <c r="G51" s="20"/>
    </row>
    <row r="52" customFormat="false" ht="23.85" hidden="false" customHeight="false" outlineLevel="0" collapsed="false">
      <c r="A52" s="18" t="s">
        <v>222</v>
      </c>
      <c r="B52" s="18" t="s">
        <v>42</v>
      </c>
      <c r="C52" s="18" t="s">
        <v>223</v>
      </c>
      <c r="D52" s="18"/>
      <c r="E52" s="18" t="s">
        <v>103</v>
      </c>
      <c r="F52" s="19"/>
      <c r="G52" s="18" t="s">
        <v>224</v>
      </c>
    </row>
    <row r="53" customFormat="false" ht="15" hidden="false" customHeight="false" outlineLevel="0" collapsed="false">
      <c r="A53" s="20" t="s">
        <v>225</v>
      </c>
      <c r="B53" s="20" t="s">
        <v>43</v>
      </c>
      <c r="C53" s="20" t="s">
        <v>226</v>
      </c>
      <c r="D53" s="20"/>
      <c r="E53" s="20" t="s">
        <v>168</v>
      </c>
      <c r="F53" s="21" t="s">
        <v>227</v>
      </c>
      <c r="G53" s="20"/>
    </row>
    <row r="54" customFormat="false" ht="15" hidden="false" customHeight="false" outlineLevel="0" collapsed="false">
      <c r="A54" s="18" t="s">
        <v>228</v>
      </c>
      <c r="B54" s="18" t="s">
        <v>44</v>
      </c>
      <c r="C54" s="18" t="s">
        <v>229</v>
      </c>
      <c r="D54" s="18" t="s">
        <v>107</v>
      </c>
      <c r="E54" s="18" t="s">
        <v>150</v>
      </c>
      <c r="F54" s="19" t="s">
        <v>230</v>
      </c>
      <c r="G54" s="18"/>
    </row>
    <row r="55" customFormat="false" ht="15" hidden="false" customHeight="false" outlineLevel="0" collapsed="false">
      <c r="A55" s="20" t="s">
        <v>231</v>
      </c>
      <c r="B55" s="20" t="s">
        <v>45</v>
      </c>
      <c r="C55" s="20" t="s">
        <v>232</v>
      </c>
      <c r="D55" s="20" t="s">
        <v>107</v>
      </c>
      <c r="E55" s="20" t="s">
        <v>150</v>
      </c>
      <c r="F55" s="21" t="s">
        <v>230</v>
      </c>
      <c r="G55" s="20"/>
    </row>
    <row r="56" customFormat="false" ht="15" hidden="false" customHeight="false" outlineLevel="0" collapsed="false">
      <c r="A56" s="18" t="s">
        <v>233</v>
      </c>
      <c r="B56" s="18" t="s">
        <v>46</v>
      </c>
      <c r="C56" s="18" t="s">
        <v>234</v>
      </c>
      <c r="D56" s="18" t="s">
        <v>107</v>
      </c>
      <c r="E56" s="18" t="s">
        <v>150</v>
      </c>
      <c r="F56" s="19" t="s">
        <v>165</v>
      </c>
      <c r="G56" s="18" t="s">
        <v>235</v>
      </c>
    </row>
    <row r="57" customFormat="false" ht="15" hidden="false" customHeight="false" outlineLevel="0" collapsed="false">
      <c r="A57" s="20" t="s">
        <v>236</v>
      </c>
      <c r="B57" s="20" t="s">
        <v>47</v>
      </c>
      <c r="C57" s="20" t="s">
        <v>237</v>
      </c>
      <c r="D57" s="20" t="s">
        <v>107</v>
      </c>
      <c r="E57" s="20" t="s">
        <v>103</v>
      </c>
      <c r="F57" s="21" t="s">
        <v>139</v>
      </c>
      <c r="G57" s="20"/>
    </row>
    <row r="58" customFormat="false" ht="15" hidden="false" customHeight="false" outlineLevel="0" collapsed="false">
      <c r="A58" s="18" t="s">
        <v>238</v>
      </c>
      <c r="B58" s="18" t="s">
        <v>48</v>
      </c>
      <c r="C58" s="18" t="s">
        <v>119</v>
      </c>
      <c r="D58" s="18" t="s">
        <v>107</v>
      </c>
      <c r="E58" s="18" t="s">
        <v>119</v>
      </c>
      <c r="F58" s="19" t="s">
        <v>239</v>
      </c>
      <c r="G58" s="18"/>
    </row>
  </sheetData>
  <mergeCells count="6">
    <mergeCell ref="A2:F2"/>
    <mergeCell ref="A3:F3"/>
    <mergeCell ref="A4:F4"/>
    <mergeCell ref="A5:F5"/>
    <mergeCell ref="A6:F6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2026-09-22T17:50:57Z</dcterms:created>
  <dc:creator>openpyxl</dc:creator>
  <dc:description/>
  <dc:language>en-US</dc:language>
  <cp:lastModifiedBy/>
  <dcterms:modified xsi:type="dcterms:W3CDTF">2026-09-22T17:50:57Z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